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dz4\Documents\Amaranth10\"/>
    </mc:Choice>
  </mc:AlternateContent>
  <xr:revisionPtr revIDLastSave="0" documentId="13_ncr:1_{7CE68743-1343-4065-B7F2-E8F5FE510F20}" xr6:coauthVersionLast="47" xr6:coauthVersionMax="47" xr10:uidLastSave="{00000000-0000-0000-0000-000000000000}"/>
  <bookViews>
    <workbookView xWindow="28680" yWindow="-120" windowWidth="29040" windowHeight="15720" xr2:uid="{6E5CA8AD-D958-4F40-9AC4-840414E71B03}"/>
  </bookViews>
  <sheets>
    <sheet name="DAILY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00시">#REF!</definedName>
    <definedName name="_31A3_" hidden="1">{#N/A,#N/A,FALSE,"단축1";#N/A,#N/A,FALSE,"단축2";#N/A,#N/A,FALSE,"단축3";#N/A,#N/A,FALSE,"장축";#N/A,#N/A,FALSE,"4WD"}</definedName>
    <definedName name="_36P2_" hidden="1">{#N/A,#N/A,FALSE,"단축1";#N/A,#N/A,FALSE,"단축2";#N/A,#N/A,FALSE,"단축3";#N/A,#N/A,FALSE,"장축";#N/A,#N/A,FALSE,"4WD"}</definedName>
    <definedName name="_38T2_" hidden="1">{#N/A,#N/A,FALSE,"단축1";#N/A,#N/A,FALSE,"단축2";#N/A,#N/A,FALSE,"단축3";#N/A,#N/A,FALSE,"장축";#N/A,#N/A,FALSE,"4WD"}</definedName>
    <definedName name="_39T3_" hidden="1">{#N/A,#N/A,FALSE,"단축1";#N/A,#N/A,FALSE,"단축2";#N/A,#N/A,FALSE,"단축3";#N/A,#N/A,FALSE,"장축";#N/A,#N/A,FALSE,"4WD"}</definedName>
    <definedName name="_40T5_" hidden="1">{#N/A,#N/A,FALSE,"단축1";#N/A,#N/A,FALSE,"단축2";#N/A,#N/A,FALSE,"단축3";#N/A,#N/A,FALSE,"장축";#N/A,#N/A,FALSE,"4WD"}</definedName>
    <definedName name="_Dist_Values" hidden="1">#REF!</definedName>
    <definedName name="_Fill" hidden="1">#REF!</definedName>
    <definedName name="_xlnm._FilterDatabase" localSheetId="0" hidden="1">DAILY!$A$1:$Q$1</definedName>
    <definedName name="_xlnm._FilterDatabase" hidden="1">#REF!</definedName>
    <definedName name="_Key1" hidden="1">#REF!</definedName>
    <definedName name="_Key2" hidden="1">#REF!</definedName>
    <definedName name="_KO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B004" hidden="1">{#N/A,#N/A,FALSE,"단축1";#N/A,#N/A,FALSE,"단축2";#N/A,#N/A,FALSE,"단축3";#N/A,#N/A,FALSE,"장축";#N/A,#N/A,FALSE,"4WD"}</definedName>
    <definedName name="_shcnf">#REF!</definedName>
    <definedName name="_Sort" hidden="1">#REF!</definedName>
    <definedName name="_tt2">#REF!</definedName>
    <definedName name="\0">#REF!</definedName>
    <definedName name="\ADL_KID">#REF!</definedName>
    <definedName name="\c">#N/A</definedName>
    <definedName name="\d">#REF!</definedName>
    <definedName name="\i">#REF!</definedName>
    <definedName name="\KOBACO">#REF!</definedName>
    <definedName name="\m">#REF!</definedName>
    <definedName name="\p">#N/A</definedName>
    <definedName name="\q">#N/A</definedName>
    <definedName name="a">#REF!</definedName>
    <definedName name="A1_00근거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BB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" hidden="1">{#N/A,#N/A,FALSE,"단축1";#N/A,#N/A,FALSE,"단축2";#N/A,#N/A,FALSE,"단축3";#N/A,#N/A,FALSE,"장축";#N/A,#N/A,FALSE,"4WD"}</definedName>
    <definedName name="ABD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ADSDF" hidden="1">{#N/A,#N/A,TRUE,"Y생산";#N/A,#N/A,TRUE,"Y판매";#N/A,#N/A,TRUE,"Y총물량";#N/A,#N/A,TRUE,"Y능력";#N/A,#N/A,TRUE,"YKD"}</definedName>
    <definedName name="AF" hidden="1">{#N/A,#N/A,FALSE,"단축1";#N/A,#N/A,FALSE,"단축2";#N/A,#N/A,FALSE,"단축3";#N/A,#N/A,FALSE,"장축";#N/A,#N/A,FALSE,"4WD"}</definedName>
    <definedName name="afhjkdhfla" hidden="1">{#N/A,#N/A,FALSE,"단축1";#N/A,#N/A,FALSE,"단축2";#N/A,#N/A,FALSE,"단축3";#N/A,#N/A,FALSE,"장축";#N/A,#N/A,FALSE,"4WD"}</definedName>
    <definedName name="AG" hidden="1">{#N/A,#N/A,FALSE,"단축1";#N/A,#N/A,FALSE,"단축2";#N/A,#N/A,FALSE,"단축3";#N/A,#N/A,FALSE,"장축";#N/A,#N/A,FALSE,"4WD"}</definedName>
    <definedName name="AH" hidden="1">{#N/A,#N/A,FALSE,"단축1";#N/A,#N/A,FALSE,"단축2";#N/A,#N/A,FALSE,"단축3";#N/A,#N/A,FALSE,"장축";#N/A,#N/A,FALSE,"4WD"}</definedName>
    <definedName name="AJ" hidden="1">{#N/A,#N/A,FALSE,"단축1";#N/A,#N/A,FALSE,"단축2";#N/A,#N/A,FALSE,"단축3";#N/A,#N/A,FALSE,"장축";#N/A,#N/A,FALSE,"4WD"}</definedName>
    <definedName name="AL" hidden="1">{#N/A,#N/A,FALSE,"단축1";#N/A,#N/A,FALSE,"단축2";#N/A,#N/A,FALSE,"단축3";#N/A,#N/A,FALSE,"장축";#N/A,#N/A,FALSE,"4WD"}</definedName>
    <definedName name="All">#REF!</definedName>
    <definedName name="AN" hidden="1">{#N/A,#N/A,FALSE,"단축1";#N/A,#N/A,FALSE,"단축2";#N/A,#N/A,FALSE,"단축3";#N/A,#N/A,FALSE,"장축";#N/A,#N/A,FALSE,"4WD"}</definedName>
    <definedName name="AQP" hidden="1">{#N/A,#N/A,FALSE,"96 3월물량표";#N/A,#N/A,FALSE,"96 4월물량표";#N/A,#N/A,FALSE,"96 5월물량표"}</definedName>
    <definedName name="AS" hidden="1">{#N/A,#N/A,FALSE,"단축1";#N/A,#N/A,FALSE,"단축2";#N/A,#N/A,FALSE,"단축3";#N/A,#N/A,FALSE,"장축";#N/A,#N/A,FALSE,"4WD"}</definedName>
    <definedName name="asd">#REF!</definedName>
    <definedName name="asdf">#REF!</definedName>
    <definedName name="ASDFASDFGASD">#REF!</definedName>
    <definedName name="AV" hidden="1">{#N/A,#N/A,FALSE,"단축1";#N/A,#N/A,FALSE,"단축2";#N/A,#N/A,FALSE,"단축3";#N/A,#N/A,FALSE,"장축";#N/A,#N/A,FALSE,"4WD"}</definedName>
    <definedName name="bcrclcl100rt">'[1]9-1차이내역'!#REF!</definedName>
    <definedName name="bcrclcl100rtrkrk">'[1]9-1차이내역'!#REF!</definedName>
    <definedName name="BFX_BRANDFX">60122</definedName>
    <definedName name="CAE해석" hidden="1">{#N/A,#N/A,FALSE,"단축1";#N/A,#N/A,FALSE,"단축2";#N/A,#N/A,FALSE,"단축3";#N/A,#N/A,FALSE,"장축";#N/A,#N/A,FALSE,"4WD"}</definedName>
    <definedName name="Channel">#REF!</definedName>
    <definedName name="CHINA">#REF!</definedName>
    <definedName name="ci" hidden="1">{#N/A,#N/A,FALSE,"단축1";#N/A,#N/A,FALSE,"단축2";#N/A,#N/A,FALSE,"단축3";#N/A,#N/A,FALSE,"장축";#N/A,#N/A,FALSE,"4WD"}</definedName>
    <definedName name="conb1">[1]!conb1</definedName>
    <definedName name="conb10">[1]!conb10</definedName>
    <definedName name="conb100">[1]!conb100</definedName>
    <definedName name="conb101">[1]!conb101</definedName>
    <definedName name="conb102">[1]!conb102</definedName>
    <definedName name="conb103">[1]!conb103</definedName>
    <definedName name="conb104">[1]!conb104</definedName>
    <definedName name="conb105">[1]!conb105</definedName>
    <definedName name="conb106">[1]!conb106</definedName>
    <definedName name="conb107">[1]!conb107</definedName>
    <definedName name="conb108">[1]!conb108</definedName>
    <definedName name="conb109">[1]!conb109</definedName>
    <definedName name="conb11">[1]!conb11</definedName>
    <definedName name="conb110">[1]!conb110</definedName>
    <definedName name="conb111">[1]!conb111</definedName>
    <definedName name="conb112">[1]!conb112</definedName>
    <definedName name="conb113">[1]!conb113</definedName>
    <definedName name="conb114">[1]!conb114</definedName>
    <definedName name="conb115">[1]!conb115</definedName>
    <definedName name="conb116">[1]!conb116</definedName>
    <definedName name="conb117">[1]!conb117</definedName>
    <definedName name="conb118">[1]!conb118</definedName>
    <definedName name="conb119">[1]!conb119</definedName>
    <definedName name="conb12">[1]!conb12</definedName>
    <definedName name="conb120">[1]!conb120</definedName>
    <definedName name="conb121">[1]!conb121</definedName>
    <definedName name="conb13">[1]!conb13</definedName>
    <definedName name="conb14">[1]!conb14</definedName>
    <definedName name="conb15">[1]!conb15</definedName>
    <definedName name="conb16">[1]!conb16</definedName>
    <definedName name="conb17">[1]!conb17</definedName>
    <definedName name="conb18">[1]!conb18</definedName>
    <definedName name="conb19">[1]!conb19</definedName>
    <definedName name="conb2">[1]!conb2</definedName>
    <definedName name="conb20">[1]!conb20</definedName>
    <definedName name="conb200">[1]!conb88</definedName>
    <definedName name="conb21">[1]!conb21</definedName>
    <definedName name="conb22">[1]!conb22</definedName>
    <definedName name="conb23">[1]!conb23</definedName>
    <definedName name="conb24">[1]!conb24</definedName>
    <definedName name="conb25">[1]!conb25</definedName>
    <definedName name="conb26">[1]!conb26</definedName>
    <definedName name="conb27">[1]!conb27</definedName>
    <definedName name="conb28">[1]!conb28</definedName>
    <definedName name="conb29">[1]!conb29</definedName>
    <definedName name="conb3">[1]!conb3</definedName>
    <definedName name="conb30">[1]!conb30</definedName>
    <definedName name="conb31">[1]!conb31</definedName>
    <definedName name="conb33">[1]!conb33</definedName>
    <definedName name="conb34">[1]!conb34</definedName>
    <definedName name="conb36">[1]!conb36</definedName>
    <definedName name="conb37">[1]!conb37</definedName>
    <definedName name="conb38">[1]!conb38</definedName>
    <definedName name="conb39">[1]!conb39</definedName>
    <definedName name="conb4">[1]!conb4</definedName>
    <definedName name="conb40">[1]!conb40</definedName>
    <definedName name="conb41">[1]!conb41</definedName>
    <definedName name="conb42">[1]!conb42</definedName>
    <definedName name="conb43">[1]!conb43</definedName>
    <definedName name="conb44">[1]!conb44</definedName>
    <definedName name="conb45">[1]!conb45</definedName>
    <definedName name="conb46">[1]!conb46</definedName>
    <definedName name="conb47">[1]!conb47</definedName>
    <definedName name="conb48">[1]!conb48</definedName>
    <definedName name="conb49">[1]!conb49</definedName>
    <definedName name="conb5">[1]!conb5</definedName>
    <definedName name="conb50">[1]!conb50</definedName>
    <definedName name="conb51">[1]!conb51</definedName>
    <definedName name="conb52">[1]!conb52</definedName>
    <definedName name="conb53">[1]!conb53</definedName>
    <definedName name="conb54">[1]!conb54</definedName>
    <definedName name="conb55">[1]!conb55</definedName>
    <definedName name="conb58">[1]!conb58</definedName>
    <definedName name="conb59">[1]!conb59</definedName>
    <definedName name="conb6">[1]!conb6</definedName>
    <definedName name="conb60">[1]!conb60</definedName>
    <definedName name="conb61">[1]!conb61</definedName>
    <definedName name="conb62">[1]!conb62</definedName>
    <definedName name="conb63">[1]!conb63</definedName>
    <definedName name="conb64">[1]!conb64</definedName>
    <definedName name="conb65">[1]!conb65</definedName>
    <definedName name="conb66">[1]!conb66</definedName>
    <definedName name="conb67">[1]!conb67</definedName>
    <definedName name="conb68">[1]!conb68</definedName>
    <definedName name="conb69">[1]!conb69</definedName>
    <definedName name="conb7">[1]!conb7</definedName>
    <definedName name="conb70">[1]!conb70</definedName>
    <definedName name="conb71">[1]!conb71</definedName>
    <definedName name="conb72">[1]!conb72</definedName>
    <definedName name="conb73">[1]!conb73</definedName>
    <definedName name="conb74">[1]!conb74</definedName>
    <definedName name="conb75">[1]!conb75</definedName>
    <definedName name="conb76">[1]!conb76</definedName>
    <definedName name="conb77">[1]!conb77</definedName>
    <definedName name="conb78">[1]!conb78</definedName>
    <definedName name="conb79">[1]!conb79</definedName>
    <definedName name="conb8">[1]!conb8</definedName>
    <definedName name="conb80">[1]!conb80</definedName>
    <definedName name="conb81">[1]!conb81</definedName>
    <definedName name="conb82">[1]!conb82</definedName>
    <definedName name="conb83">[1]!conb83</definedName>
    <definedName name="conb84">[1]!conb84</definedName>
    <definedName name="conb85">[1]!conb85</definedName>
    <definedName name="conb86">[1]!conb86</definedName>
    <definedName name="conb87">[1]!conb87</definedName>
    <definedName name="conb88">[1]!conb88</definedName>
    <definedName name="conb89">[1]!conb89</definedName>
    <definedName name="conb9">[1]!conb9</definedName>
    <definedName name="conb90">[1]!conb90</definedName>
    <definedName name="conb91">[1]!conb91</definedName>
    <definedName name="conb92">[1]!conb92</definedName>
    <definedName name="conb93">[1]!conb93</definedName>
    <definedName name="conb94">[1]!conb94</definedName>
    <definedName name="conb95">[1]!conb95</definedName>
    <definedName name="conb96">[1]!conb96</definedName>
    <definedName name="conb97">[1]!conb97</definedName>
    <definedName name="conb98">[1]!conb98</definedName>
    <definedName name="conb99">[1]!conb99</definedName>
    <definedName name="_xlnm.Criteria">#REF!</definedName>
    <definedName name="Criteria_MI">#REF!</definedName>
    <definedName name="d">[2]채널!$C$3:$C$21</definedName>
    <definedName name="DA">#N/A</definedName>
    <definedName name="_xlnm.Database">[3]엔미즈_코리아!$A$2:$AA$38</definedName>
    <definedName name="Database_MI">#REF!</definedName>
    <definedName name="Database2">#REF!</definedName>
    <definedName name="Days_Of_Week">#REF!</definedName>
    <definedName name="dd">#REF!</definedName>
    <definedName name="DDD" hidden="1">{#VALUE!,#N/A,FALSE,0;#N/A,#N/A,FALSE,0;#N/A,#N/A,FALSE,0;#N/A,#N/A,FALSE,0;#N/A,#N/A,FALSE,0}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SLDH" hidden="1">{#N/A,#N/A,FALSE,"단축1";#N/A,#N/A,FALSE,"단축2";#N/A,#N/A,FALSE,"단축3";#N/A,#N/A,FALSE,"장축";#N/A,#N/A,FALSE,"4WD"}</definedName>
    <definedName name="DRIVE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f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ee">[4]!eee</definedName>
    <definedName name="EF제동" hidden="1">{#N/A,#N/A,FALSE,"단축1";#N/A,#N/A,FALSE,"단축2";#N/A,#N/A,FALSE,"단축3";#N/A,#N/A,FALSE,"장축";#N/A,#N/A,FALSE,"4WD"}</definedName>
    <definedName name="ERRE" hidden="1">{#N/A,#N/A,FALSE,"단축1";#N/A,#N/A,FALSE,"단축2";#N/A,#N/A,FALSE,"단축3";#N/A,#N/A,FALSE,"장축";#N/A,#N/A,FALSE,"4WD"}</definedName>
    <definedName name="Excel_BuiltIn__FilterDatabase_1">#REF!</definedName>
    <definedName name="_xlnm.Extract">#REF!</definedName>
    <definedName name="Extract_MI">#REF!</definedName>
    <definedName name="f">[4]!f</definedName>
    <definedName name="fd">#REF!</definedName>
    <definedName name="fdafdas">[4]!fdafdas</definedName>
    <definedName name="FFG" hidden="1">{#N/A,#N/A,FALSE,"단축1";#N/A,#N/A,FALSE,"단축2";#N/A,#N/A,FALSE,"단축3";#N/A,#N/A,FALSE,"장축";#N/A,#N/A,FALSE,"4WD"}</definedName>
    <definedName name="fg1314TBTB4RTDKDKDKRT">#REF!</definedName>
    <definedName name="FGH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G" hidden="1">{#N/A,#N/A,FALSE,"96 3월물량표";#N/A,#N/A,FALSE,"96 4월물량표";#N/A,#N/A,FALSE,"96 5월물량표"}</definedName>
    <definedName name="G_L">#REF!</definedName>
    <definedName name="G_M">MATCH(#REF!,G_L,0)-1</definedName>
    <definedName name="GGG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KADJG" hidden="1">{#N/A,#N/A,FALSE,"단축1";#N/A,#N/A,FALSE,"단축2";#N/A,#N/A,FALSE,"단축3";#N/A,#N/A,FALSE,"장축";#N/A,#N/A,FALSE,"4WD"}</definedName>
    <definedName name="haircare">'[5]#cmpt2'!#REF!</definedName>
    <definedName name="HJJ" hidden="1">{#N/A,#N/A,FALSE,"단축1";#N/A,#N/A,FALSE,"단축2";#N/A,#N/A,FALSE,"단축3";#N/A,#N/A,FALSE,"장축";#N/A,#N/A,FALSE,"4WD"}</definedName>
    <definedName name="Home">#REF!</definedName>
    <definedName name="HTML_CodePage" hidden="1">949</definedName>
    <definedName name="HTML_Control" hidden="1">{"'01'!$A$1:$BO$43"}</definedName>
    <definedName name="HTML_Description" hidden="1">""</definedName>
    <definedName name="HTML_Email" hidden="1">""</definedName>
    <definedName name="HTML_Header" hidden="1">""</definedName>
    <definedName name="HTML_LastUpdate" hidden="1">"99/11/16"</definedName>
    <definedName name="HTML_LineAfter" hidden="1">FALSE</definedName>
    <definedName name="HTML_LineBefore" hidden="1">FALSE</definedName>
    <definedName name="HTML_Name" hidden="1">"안창우"</definedName>
    <definedName name="HTML_OBDlg2" hidden="1">TRUE</definedName>
    <definedName name="HTML_OBDlg4" hidden="1">TRUE</definedName>
    <definedName name="HTML_OS" hidden="1">0</definedName>
    <definedName name="HTML_PathFile" hidden="1">"C:\MyDocuments\조직비교\MyHTML.htm"</definedName>
    <definedName name="HTML_Title" hidden="1">"現代 對 大通"</definedName>
    <definedName name="http___3d_vision.kr_?mid_sub1_document_srl_131464">#REF!</definedName>
    <definedName name="ic" hidden="1">{#N/A,#N/A,FALSE,"단축1";#N/A,#N/A,FALSE,"단축2";#N/A,#N/A,FALSE,"단축3";#N/A,#N/A,FALSE,"장축";#N/A,#N/A,FALSE,"4WD"}</definedName>
    <definedName name="INDIA">#REF!</definedName>
    <definedName name="interestrates">[1]!conb43</definedName>
    <definedName name="internet">#REF!</definedName>
    <definedName name="JK" hidden="1">{#N/A,#N/A,TRUE,"Y생산";#N/A,#N/A,TRUE,"Y판매";#N/A,#N/A,TRUE,"Y총물량";#N/A,#N/A,TRUE,"Y능력";#N/A,#N/A,TRUE,"YKD"}</definedName>
    <definedName name="KEY">#N/A</definedName>
    <definedName name="KKJGLGK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Price범위">#REF!</definedName>
    <definedName name="LONDON">#REF!</definedName>
    <definedName name="LOOPKEY">#N/A</definedName>
    <definedName name="lps" hidden="1">{#N/A,#N/A,FALSE,"단축1";#N/A,#N/A,FALSE,"단축2";#N/A,#N/A,FALSE,"단축3";#N/A,#N/A,FALSE,"장축";#N/A,#N/A,FALSE,"4WD"}</definedName>
    <definedName name="LUP" hidden="1">#REF!</definedName>
    <definedName name="M">#REF!</definedName>
    <definedName name="M_Drama" hidden="1">#REF!</definedName>
    <definedName name="main">[4]!main</definedName>
    <definedName name="MBC_D" hidden="1">#REF!</definedName>
    <definedName name="MESS">#N/A</definedName>
    <definedName name="MESSSCR">#N/A</definedName>
    <definedName name="MH향상" hidden="1">{#N/A,#N/A,TRUE,"Y생산";#N/A,#N/A,TRUE,"Y판매";#N/A,#N/A,TRUE,"Y총물량";#N/A,#N/A,TRUE,"Y능력";#N/A,#N/A,TRUE,"YKD"}</definedName>
    <definedName name="MMM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net">[4]!mnet</definedName>
    <definedName name="MOBILE">#REF!</definedName>
    <definedName name="mobile_sales">#REF!</definedName>
    <definedName name="MV" hidden="1">{#N/A,#N/A,FALSE,"단축1";#N/A,#N/A,FALSE,"단축2";#N/A,#N/A,FALSE,"단축3";#N/A,#N/A,FALSE,"장축";#N/A,#N/A,FALSE,"4WD"}</definedName>
    <definedName name="NEW" hidden="1">#REF!</definedName>
    <definedName name="NOTE" hidden="1">{#N/A,#N/A,FALSE,"단축1";#N/A,#N/A,FALSE,"단축2";#N/A,#N/A,FALSE,"단축3";#N/A,#N/A,FALSE,"장축";#N/A,#N/A,FALSE,"4WD"}</definedName>
    <definedName name="O" hidden="1">{#N/A,#N/A,TRUE,"Y생산";#N/A,#N/A,TRUE,"Y판매";#N/A,#N/A,TRUE,"Y총물량";#N/A,#N/A,TRUE,"Y능력";#N/A,#N/A,TRUE,"YKD"}</definedName>
    <definedName name="P" hidden="1">{#N/A,#N/A,FALSE,"단축1";#N/A,#N/A,FALSE,"단축2";#N/A,#N/A,FALSE,"단축3";#N/A,#N/A,FALSE,"장축";#N/A,#N/A,FALSE,"4WD"}</definedName>
    <definedName name="PARK" hidden="1">{#N/A,#N/A,FALSE,"단축1";#N/A,#N/A,FALSE,"단축2";#N/A,#N/A,FALSE,"단축3";#N/A,#N/A,FALSE,"장축";#N/A,#N/A,FALSE,"4WD"}</definedName>
    <definedName name="pessimistic">#REF!</definedName>
    <definedName name="PPK" hidden="1">{#N/A,#N/A,FALSE,"96 3월물량표";#N/A,#N/A,FALSE,"96 4월물량표";#N/A,#N/A,FALSE,"96 5월물량표"}</definedName>
    <definedName name="PPPP" hidden="1">{#N/A,#N/A,FALSE,"단축1";#N/A,#N/A,FALSE,"단축2";#N/A,#N/A,FALSE,"단축3";#N/A,#N/A,FALSE,"장축";#N/A,#N/A,FALSE,"4WD"}</definedName>
    <definedName name="ppt">[4]!ppt</definedName>
    <definedName name="Print_Area_MI">[6]개발실!#REF!</definedName>
    <definedName name="_xlnm.Print_Titles">#REF!</definedName>
    <definedName name="PRINTGO">#N/A</definedName>
    <definedName name="Product_List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" hidden="1">{#N/A,#N/A,FALSE,"Chi tiÆt"}</definedName>
    <definedName name="Q91A">#REF!</definedName>
    <definedName name="q91b">#REF!</definedName>
    <definedName name="QD" hidden="1">{#N/A,#N/A,FALSE,"단축1";#N/A,#N/A,FALSE,"단축2";#N/A,#N/A,FALSE,"단축3";#N/A,#N/A,FALSE,"장축";#N/A,#N/A,FALSE,"4WD"}</definedName>
    <definedName name="QJQH" hidden="1">{#N/A,#N/A,FALSE,"단축1";#N/A,#N/A,FALSE,"단축2";#N/A,#N/A,FALSE,"단축3";#N/A,#N/A,FALSE,"장축";#N/A,#N/A,FALSE,"4WD"}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">[4]!qqq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W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rr">#REF!</definedName>
    <definedName name="rrrr">#REF!</definedName>
    <definedName name="RTE">[4]!RTE</definedName>
    <definedName name="s">#REF!</definedName>
    <definedName name="SADF" hidden="1">{#N/A,#N/A,FALSE,"단축1";#N/A,#N/A,FALSE,"단축2";#N/A,#N/A,FALSE,"단축3";#N/A,#N/A,FALSE,"장축";#N/A,#N/A,FALSE,"4WD"}</definedName>
    <definedName name="SBA">#REF!</definedName>
    <definedName name="Scenario">#REF!</definedName>
    <definedName name="Scenario2">#REF!</definedName>
    <definedName name="SD" hidden="1">{#N/A,#N/A,FALSE,"단축1";#N/A,#N/A,FALSE,"단축2";#N/A,#N/A,FALSE,"단축3";#N/A,#N/A,FALSE,"장축";#N/A,#N/A,FALSE,"4WD"}</definedName>
    <definedName name="SDFL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FG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HEET_1">#N/A</definedName>
    <definedName name="SHEET_2">#N/A</definedName>
    <definedName name="SHEET_3">#N/A</definedName>
    <definedName name="SHI" hidden="1">{#N/A,#N/A,FALSE,"단축1";#N/A,#N/A,FALSE,"단축2";#N/A,#N/A,FALSE,"단축3";#N/A,#N/A,FALSE,"장축";#N/A,#N/A,FALSE,"4WD"}</definedName>
    <definedName name="SK컴즈">#REF!</definedName>
    <definedName name="SK컴즈_상세가이드">#REF!</definedName>
    <definedName name="sk투">#REF!</definedName>
    <definedName name="SS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sss">[7]전체단가표!$A$2:$F$135</definedName>
    <definedName name="ssssssssss">#REF!</definedName>
    <definedName name="SUM">#REF!</definedName>
    <definedName name="SW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g">#REF!</definedName>
    <definedName name="TAIWAN">#REF!</definedName>
    <definedName name="TaxTV">10%</definedName>
    <definedName name="TaxXL">5%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mes_Left">#REF!</definedName>
    <definedName name="Times_Right">#REF!</definedName>
    <definedName name="TRIM별COST2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U" hidden="1">{#N/A,#N/A,FALSE,"단축1";#N/A,#N/A,FALSE,"단축2";#N/A,#N/A,FALSE,"단축3";#N/A,#N/A,FALSE,"장축";#N/A,#N/A,FALSE,"4WD"}</definedName>
    <definedName name="UKFL" hidden="1">{#N/A,#N/A,FALSE,"단축1";#N/A,#N/A,FALSE,"단축2";#N/A,#N/A,FALSE,"단축3";#N/A,#N/A,FALSE,"장축";#N/A,#N/A,FALSE,"4WD"}</definedName>
    <definedName name="Updated">#REF!</definedName>
    <definedName name="WEARF" hidden="1">{#N/A,#N/A,TRUE,"Y생산";#N/A,#N/A,TRUE,"Y판매";#N/A,#N/A,TRUE,"Y총물량";#N/A,#N/A,TRUE,"Y능력";#N/A,#N/A,TRUE,"YKD"}</definedName>
    <definedName name="WHAT">#REF!</definedName>
    <definedName name="Wk_Sched">#REF!</definedName>
    <definedName name="wrn.345." hidden="1">{#N/A,#N/A,FALSE,"96 3월물량표";#N/A,#N/A,FALSE,"96 4월물량표";#N/A,#N/A,FALSE,"96 5월물량표"}</definedName>
    <definedName name="wrn.AuºIAI¼a." hidden="1">{#N/A,#N/A,FALSE,"´UA";#N/A,#N/A,FALSE,"´UA";#N/A,#N/A,FALSE,"´UA";#N/A,#N/A,FALSE,"Aa";#N/A,#N/A,FALSE,"4WD"}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chi._.tiÆt." hidden="1">{#N/A,#N/A,FALSE,"Chi tiÆt"}</definedName>
    <definedName name="wrn.tou구매." hidden="1">{#N/A,#N/A,FALSE,"견적대비-2"}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ddd">#REF!</definedName>
    <definedName name="YYY" hidden="1">{#N/A,#N/A,TRUE,"Y생산";#N/A,#N/A,TRUE,"Y판매";#N/A,#N/A,TRUE,"Y총물량";#N/A,#N/A,TRUE,"Y능력";#N/A,#N/A,TRUE,"YKD"}</definedName>
    <definedName name="Z" hidden="1">{#N/A,#N/A,FALSE,"단축1";#N/A,#N/A,FALSE,"단축2";#N/A,#N/A,FALSE,"단축3";#N/A,#N/A,FALSE,"장축";#N/A,#N/A,FALSE,"4WD"}</definedName>
    <definedName name="zz">#REF!</definedName>
    <definedName name="ZZZ" hidden="1">{#N/A,#N/A,FALSE,"단축1";#N/A,#N/A,FALSE,"단축2";#N/A,#N/A,FALSE,"단축3";#N/A,#N/A,FALSE,"장축";#N/A,#N/A,FALSE,"4WD"}</definedName>
    <definedName name="ㄱ">#REF!</definedName>
    <definedName name="ㄱㄱ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나">[4]!가나</definedName>
    <definedName name="稼働日">#REF!</definedName>
    <definedName name="가동조건" hidden="1">{#N/A,#N/A,FALSE,"96 3월물량표";#N/A,#N/A,FALSE,"96 4월물량표";#N/A,#N/A,FALSE,"96 5월물량표"}</definedName>
    <definedName name="감사보고서">#REF!</definedName>
    <definedName name="강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강동" hidden="1">{"'01'!$A$1:$BO$43"}</definedName>
    <definedName name="개발">[8]캔개발배경!$A$1:$O$40</definedName>
    <definedName name="개발시험종합" hidden="1">#REF!</definedName>
    <definedName name="개요">[9]개요!$A$1:$N$41</definedName>
    <definedName name="거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검색">#REF!</definedName>
    <definedName name="결손금">'[1]#REF'!#REF!</definedName>
    <definedName name="경합금2과운연계획" hidden="1">{#N/A,#N/A,TRUE,"Y생산";#N/A,#N/A,TRUE,"Y판매";#N/A,#N/A,TRUE,"Y총물량";#N/A,#N/A,TRUE,"Y능력";#N/A,#N/A,TRUE,"YKD"}</definedName>
    <definedName name="곡" hidden="1">{#N/A,#N/A,FALSE,"96 3월물량표";#N/A,#N/A,FALSE,"96 4월물량표";#N/A,#N/A,FALSE,"96 5월물량표"}</definedName>
    <definedName name="골" hidden="1">{#N/A,#N/A,FALSE,"단축1";#N/A,#N/A,FALSE,"단축2";#N/A,#N/A,FALSE,"단축3";#N/A,#N/A,FALSE,"장축";#N/A,#N/A,FALSE,"4WD"}</definedName>
    <definedName name="골라인쇄">[1]!골라인쇄</definedName>
    <definedName name="공공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관리비근거">[4]!관리비근거</definedName>
    <definedName name="광고비">#REF!</definedName>
    <definedName name="광고상품">'[10]ART_9월+10월+11월 큐시트'!$O$4:$O$11</definedName>
    <definedName name="광고주">#REF!</definedName>
    <definedName name="군포" hidden="1">{"'01'!$A$1:$BO$43"}</definedName>
    <definedName name="그냥해" hidden="1">{#N/A,#N/A,FALSE,"단축1";#N/A,#N/A,FALSE,"단축2";#N/A,#N/A,FALSE,"단축3";#N/A,#N/A,FALSE,"장축";#N/A,#N/A,FALSE,"4WD"}</definedName>
    <definedName name="그래픽">#REF!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능" hidden="1">{#N/A,#N/A,FALSE,"단축1";#N/A,#N/A,FALSE,"단축2";#N/A,#N/A,FALSE,"단축3";#N/A,#N/A,FALSE,"장축";#N/A,#N/A,FALSE,"4WD"}</definedName>
    <definedName name="기본">#REF!</definedName>
    <definedName name="기아" hidden="1">{#N/A,#N/A,FALSE,"단축1";#N/A,#N/A,FALSE,"단축2";#N/A,#N/A,FALSE,"단축3";#N/A,#N/A,FALSE,"장축";#N/A,#N/A,FALSE,"4WD"}</definedName>
    <definedName name="기안">[9]기안!$A$1:$W$34</definedName>
    <definedName name="ㄳ" hidden="1">{#N/A,#N/A,FALSE,"단축1";#N/A,#N/A,FALSE,"단축2";#N/A,#N/A,FALSE,"단축3";#N/A,#N/A,FALSE,"장축";#N/A,#N/A,FALSE,"4WD"}</definedName>
    <definedName name="ㄴ">#REF!</definedName>
    <definedName name="ㄴㄴㄴ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ㄷㅇ">#REF!</definedName>
    <definedName name="ㄴㅁㅇㄹ">'[1]9-1차이내역'!#REF!</definedName>
    <definedName name="ㄴㅁㅇㅎㅇ롱로" hidden="1">#REF!</definedName>
    <definedName name="ㄴㅇ">#REF!</definedName>
    <definedName name="ㄴㅇㄴㅇㅀㄹㅇㅎㅇㅀㅎ" hidden="1">{#N/A,#N/A,FALSE,"단축1";#N/A,#N/A,FALSE,"단축2";#N/A,#N/A,FALSE,"단축3";#N/A,#N/A,FALSE,"장축";#N/A,#N/A,FALSE,"4WD"}</definedName>
    <definedName name="ㄴㅇㄹㄹㄴㅇㅁㅁㄴㅇㄻㄴㅇ">'[1]9-1차이내역'!#REF!</definedName>
    <definedName name="ㄴㅋ" hidden="1">{#N/A,#N/A,FALSE,"단축1";#N/A,#N/A,FALSE,"단축2";#N/A,#N/A,FALSE,"단축3";#N/A,#N/A,FALSE,"장축";#N/A,#N/A,FALSE,"4WD"}</definedName>
    <definedName name="네이버">#REF!</definedName>
    <definedName name="네이트가이드">#REF!</definedName>
    <definedName name="네이트제가이드">[7]전체단가표!$A$2:$F$135</definedName>
    <definedName name="네이트제작가이드">[7]전체단가표!$A$2:$F$135</definedName>
    <definedName name="넥스투어">[4]!넥스투어</definedName>
    <definedName name="년">[11]월간일정표!$B$2</definedName>
    <definedName name="노출현황">#REF!</definedName>
    <definedName name="니미럴">'[1]#REF'!#REF!</definedName>
    <definedName name="니ㅏ어림">[3]엔미즈_코리아!$A$2:$AA$38</definedName>
    <definedName name="ㄷㄱ" hidden="1">{#N/A,#N/A,TRUE,"Y생산";#N/A,#N/A,TRUE,"Y판매";#N/A,#N/A,TRUE,"Y총물량";#N/A,#N/A,TRUE,"Y능력";#N/A,#N/A,TRUE,"YKD"}</definedName>
    <definedName name="ㄷㄷ" hidden="1">{#N/A,#N/A,FALSE,"단축1";#N/A,#N/A,FALSE,"단축2";#N/A,#N/A,FALSE,"단축3";#N/A,#N/A,FALSE,"장축";#N/A,#N/A,FALSE,"4WD"}</definedName>
    <definedName name="ㄷㄷㄷ">[4]!ㄷㄷㄷ</definedName>
    <definedName name="다음">[7]전체단가표!$A$2:$F$135</definedName>
    <definedName name="단가">[8]경쟁사가격!$A$1:$L$13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행사">#REF!</definedName>
    <definedName name="동">[12]캔개발배경!$A$1:$O$40</definedName>
    <definedName name="동화상">#REF!</definedName>
    <definedName name="드라마">[4]!드라마</definedName>
    <definedName name="등록인수">[13]전담운영PM!#REF!</definedName>
    <definedName name="디젤1" hidden="1">{#N/A,#N/A,FALSE,"단축1";#N/A,#N/A,FALSE,"단축2";#N/A,#N/A,FALSE,"단축3";#N/A,#N/A,FALSE,"장축";#N/A,#N/A,FALSE,"4WD"}</definedName>
    <definedName name="ㄹ">#REF!</definedName>
    <definedName name="ㄹㄻㄴㅇㄹ">'[1]9-1차이내역'!#REF!</definedName>
    <definedName name="ㄹ호ㅓㅓ" hidden="1">{#N/A,#N/A,FALSE,"단축1";#N/A,#N/A,FALSE,"단축2";#N/A,#N/A,FALSE,"단축3";#N/A,#N/A,FALSE,"장축";#N/A,#N/A,FALSE,"4WD"}</definedName>
    <definedName name="렙사">'[14]2011년 Movie DB'!#REF!</definedName>
    <definedName name="료ㅕㅐㅑ" hidden="1">{#N/A,#N/A,FALSE,"단축1";#N/A,#N/A,FALSE,"단축2";#N/A,#N/A,FALSE,"단축3";#N/A,#N/A,FALSE,"장축";#N/A,#N/A,FALSE,"4WD"}</definedName>
    <definedName name="리스트">[15]hide!$B$15:$B$31</definedName>
    <definedName name="ㅁ">'[16]2010년 라인업'!#REF!</definedName>
    <definedName name="ㅁ1">#REF!</definedName>
    <definedName name="ㅁㄴㄴ">#REF!</definedName>
    <definedName name="ㅁㄴㅇ" hidden="1">{#N/A,#N/A,FALSE,"단축1";#N/A,#N/A,FALSE,"단축2";#N/A,#N/A,FALSE,"단축3";#N/A,#N/A,FALSE,"장축";#N/A,#N/A,FALSE,"4WD"}</definedName>
    <definedName name="ㅁㄴㅇㄹ">'[1]#REF'!#REF!</definedName>
    <definedName name="ㅁㄴㅇㄹㅇㅇ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ㄹ">'[1]9-1차이내역'!#REF!</definedName>
    <definedName name="ㅁㅁ">#REF!</definedName>
    <definedName name="ㅁㅁㅁ">#REF!</definedName>
    <definedName name="ㅁㅇㄹ">[17]홈엔!$A$2:$F$135</definedName>
    <definedName name="ㅁㅇㄻㄴㅇㄹ">[18]전체단가표!$A$2:$F$135</definedName>
    <definedName name="마케팅">[9]마케팅!$A$1:$M$28</definedName>
    <definedName name="말자" hidden="1">{#N/A,#N/A,FALSE,"단축1";#N/A,#N/A,FALSE,"단축2";#N/A,#N/A,FALSE,"단축3";#N/A,#N/A,FALSE,"장축";#N/A,#N/A,FALSE,"4WD"}</definedName>
    <definedName name="메인상단">#REF!</definedName>
    <definedName name="목차">[9]목차!$A$1:$G$23</definedName>
    <definedName name="목표">[8]캔판매목표!$A$1:$U$19</definedName>
    <definedName name="문자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디어">#REF!</definedName>
    <definedName name="미수금1213">'[1]9-1차이내역'!#REF!</definedName>
    <definedName name="믹스">#REF!</definedName>
    <definedName name="믹스5">#REF!</definedName>
    <definedName name="ㅂ">'[1]9-1차이내역'!#REF!</definedName>
    <definedName name="ㅂㅂ" hidden="1">{#N/A,#N/A,TRUE,"Y생산";#N/A,#N/A,TRUE,"Y판매";#N/A,#N/A,TRUE,"Y총물량";#N/A,#N/A,TRUE,"Y능력";#N/A,#N/A,TRUE,"YKD"}</definedName>
    <definedName name="ㅂㅂㅂ">[4]!ㅂㅂㅂ</definedName>
    <definedName name="ㅂㅂㅂㅂ">[4]!ㅂㅂㅂㅂ</definedName>
    <definedName name="바바라" hidden="1">{#N/A,#N/A,TRUE,"Y생산";#N/A,#N/A,TRUE,"Y판매";#N/A,#N/A,TRUE,"Y총물량";#N/A,#N/A,TRUE,"Y능력";#N/A,#N/A,TRUE,"YKD"}</definedName>
    <definedName name="바보" hidden="1">{#N/A,#N/A,FALSE,"´UA";#N/A,#N/A,FALSE,"´UA";#N/A,#N/A,FALSE,"´UA";#N/A,#N/A,FALSE,"Aa";#N/A,#N/A,FALSE,"4WD"}</definedName>
    <definedName name="바보1">'[1]9-1차이내역'!#REF!</definedName>
    <definedName name="박상현" hidden="1">{#N/A,#N/A,FALSE,"단축1";#N/A,#N/A,FALSE,"단축2";#N/A,#N/A,FALSE,"단축3";#N/A,#N/A,FALSE,"장축";#N/A,#N/A,FALSE,"4WD"}</definedName>
    <definedName name="박소지" hidden="1">{#N/A,#N/A,FALSE,"단축1";#N/A,#N/A,FALSE,"단축2";#N/A,#N/A,FALSE,"단축3";#N/A,#N/A,FALSE,"장축";#N/A,#N/A,FALSE,"4WD"}</definedName>
    <definedName name="배너사이즈">#REF!</definedName>
    <definedName name="배송결재">[13]전담운영PM!#REF!</definedName>
    <definedName name="배송실적1">#REF!</definedName>
    <definedName name="번호1">[13]전담운영PM!#REF!</definedName>
    <definedName name="베타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1" hidden="1">{#N/A,#N/A,FALSE,"단축1";#N/A,#N/A,FALSE,"단축2";#N/A,#N/A,FALSE,"단축3";#N/A,#N/A,FALSE,"장축";#N/A,#N/A,FALSE,"4WD"}</definedName>
    <definedName name="보장IMP">#REF!</definedName>
    <definedName name="본부">[4]!본부</definedName>
    <definedName name="부서">[19]코드!$I$4:$K$110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브랜딩보드">#REF!</definedName>
    <definedName name="브랜딩샷">#REF!</definedName>
    <definedName name="브랜딩스테이션">#REF!</definedName>
    <definedName name="ㅅ" hidden="1">{#N/A,#N/A,TRUE,"Y생산";#N/A,#N/A,TRUE,"Y판매";#N/A,#N/A,TRUE,"Y총물량";#N/A,#N/A,TRUE,"Y능력";#N/A,#N/A,TRUE,"YKD"}</definedName>
    <definedName name="ㅅㅅ" hidden="1">{#N/A,#N/A,FALSE,"단축1";#N/A,#N/A,FALSE,"단축2";#N/A,#N/A,FALSE,"단축3";#N/A,#N/A,FALSE,"장축";#N/A,#N/A,FALSE,"4WD"}</definedName>
    <definedName name="사">[20]위스키3!$A$1:$AC$21</definedName>
    <definedName name="사랑" hidden="1">{#N/A,#N/A,FALSE,"단축1";#N/A,#N/A,FALSE,"단축2";#N/A,#N/A,FALSE,"단축3";#N/A,#N/A,FALSE,"장축";#N/A,#N/A,FALSE,"4WD"}</definedName>
    <definedName name="사이트제작" hidden="1">#REF!</definedName>
    <definedName name="사천">#REF!</definedName>
    <definedName name="삼">[20]주류전체2!$A$34:$AC$49</definedName>
    <definedName name="삼천">#REF!</definedName>
    <definedName name="삼천만원">#REF!</definedName>
    <definedName name="상수">[4]!상수</definedName>
    <definedName name="상품명">#REF!</definedName>
    <definedName name="상품성1" hidden="1">{#N/A,#N/A,FALSE,"단축1";#N/A,#N/A,FALSE,"단축2";#N/A,#N/A,FALSE,"단축3";#N/A,#N/A,FALSE,"장축";#N/A,#N/A,FALSE,"4WD"}</definedName>
    <definedName name="상품타입">'[21]2010년 Movie DB'!#REF!</definedName>
    <definedName name="상호작용">#REF!</definedName>
    <definedName name="새로">#REF!</definedName>
    <definedName name="샌디">#N/A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서초1">[4]!서초1</definedName>
    <definedName name="서초5">[4]!서초5</definedName>
    <definedName name="선급법인세9">'[1]9-1차이내역'!#REF!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소니제작가이드_다음">#REF!</definedName>
    <definedName name="소재길이">[22]Sheet1!$B$2:$B$3</definedName>
    <definedName name="소재별">[23]엔미즈_코리아!$A$2:$AA$38</definedName>
    <definedName name="소하프로젝트" hidden="1">{#N/A,#N/A,FALSE,"단축1";#N/A,#N/A,FALSE,"단축2";#N/A,#N/A,FALSE,"단축3";#N/A,#N/A,FALSE,"장축";#N/A,#N/A,FALSE,"4WD"}</definedName>
    <definedName name="손익">[9]추정손익!$A$1:$H$21</definedName>
    <definedName name="송" hidden="1">{#N/A,#N/A,TRUE,"Y생산";#N/A,#N/A,TRUE,"Y판매";#N/A,#N/A,TRUE,"Y총물량";#N/A,#N/A,TRUE,"Y능력";#N/A,#N/A,TRUE,"YKD"}</definedName>
    <definedName name="송장수령1">#REF!</definedName>
    <definedName name="송창기" hidden="1">{#N/A,#N/A,TRUE,"Y생산";#N/A,#N/A,TRUE,"Y판매";#N/A,#N/A,TRUE,"Y총물량";#N/A,#N/A,TRUE,"Y능력";#N/A,#N/A,TRUE,"YKD"}</definedName>
    <definedName name="송파" hidden="1">{"'01'!$A$1:$BO$43"}</definedName>
    <definedName name="쇼쇼쇼쇼쇼쇼쇼쇼쇼쇼" hidden="1">{#N/A,#N/A,FALSE,"단축1";#N/A,#N/A,FALSE,"단축2";#N/A,#N/A,FALSE,"단축3";#N/A,#N/A,FALSE,"장축";#N/A,#N/A,FALSE,"4WD"}</definedName>
    <definedName name="수금계획">[4]!수금계획</definedName>
    <definedName name="수정">#REF!</definedName>
    <definedName name="수정물량" hidden="1">{#N/A,#N/A,TRUE,"Y생산";#N/A,#N/A,TRUE,"Y판매";#N/A,#N/A,TRUE,"Y총물량";#N/A,#N/A,TRUE,"Y능력";#N/A,#N/A,TRUE,"YKD"}</definedName>
    <definedName name="스케쥴0908">#REF!</definedName>
    <definedName name="스포">[4]!스포</definedName>
    <definedName name="스핀브러">[4]!스핀브러</definedName>
    <definedName name="스핀브러쉬">[4]!스핀브러쉬</definedName>
    <definedName name="시간" hidden="1">{#N/A,#N/A,TRUE,"Y생산";#N/A,#N/A,TRUE,"Y판매";#N/A,#N/A,TRUE,"Y총물량";#N/A,#N/A,TRUE,"Y능력";#N/A,#N/A,TRUE,"YKD"}</definedName>
    <definedName name="시간선택">#REF!</definedName>
    <definedName name="시간입력">#REF!</definedName>
    <definedName name="시공">[9]할당!$A$1:$M$53</definedName>
    <definedName name="始業時間">[24]初期値!$C$3</definedName>
    <definedName name="시장">[8]시장!$A$1:$N$20</definedName>
    <definedName name="시트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적">[9]실적!$A$1:$J$23</definedName>
    <definedName name="실적2">#REF!</definedName>
    <definedName name="深夜開始">[24]初期値!$G$3</definedName>
    <definedName name="ㅇ" hidden="1">{#N/A,#N/A,FALSE,"단축1";#N/A,#N/A,FALSE,"단축2";#N/A,#N/A,FALSE,"단축3";#N/A,#N/A,FALSE,"장축";#N/A,#N/A,FALSE,"4WD"}</definedName>
    <definedName name="ㅇㄴ">[7]전체단가표!$A$2:$F$135</definedName>
    <definedName name="ㅇㄴㄹㄹ">#REF!</definedName>
    <definedName name="ㅇㄹ" hidden="1">{#N/A,#N/A,FALSE,"96 3월물량표";#N/A,#N/A,FALSE,"96 4월물량표";#N/A,#N/A,FALSE,"96 5월물량표"}</definedName>
    <definedName name="ㅇㄹㅇ">#REF!</definedName>
    <definedName name="ㅇㄻㄴㅇㄹ">'[25]2011년 Movie DB'!#REF!</definedName>
    <definedName name="ㅇㅁㄻㄴㅇㄹ">#REF!</definedName>
    <definedName name="ㅇㅁㅁㄴㅇㄹㄴ">#REF!</definedName>
    <definedName name="ㅇㅇ" hidden="1">#REF!</definedName>
    <definedName name="ㅇㅇㅇ">#REF!</definedName>
    <definedName name="ㅇㅇㅇㅇ" hidden="1">{#N/A,#N/A,FALSE,"단축1";#N/A,#N/A,FALSE,"단축2";#N/A,#N/A,FALSE,"단축3";#N/A,#N/A,FALSE,"장축";#N/A,#N/A,FALSE,"4WD"}</definedName>
    <definedName name="애니">#REF!</definedName>
    <definedName name="애드베이">#REF!</definedName>
    <definedName name="업종분류_중_택일">#REF!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영역">#REF!</definedName>
    <definedName name="영역1">#REF!</definedName>
    <definedName name="예산" hidden="1">{#N/A,#N/A,FALSE,"단축1";#N/A,#N/A,FALSE,"단축2";#N/A,#N/A,FALSE,"단축3";#N/A,#N/A,FALSE,"장축";#N/A,#N/A,FALSE,"4WD"}</definedName>
    <definedName name="오">[8]손익!$A$1:$G$21</definedName>
    <definedName name="오성협" hidden="1">{#N/A,#N/A,TRUE,"Y생산";#N/A,#N/A,TRUE,"Y판매";#N/A,#N/A,TRUE,"Y총물량";#N/A,#N/A,TRUE,"Y능력";#N/A,#N/A,TRUE,"YKD"}</definedName>
    <definedName name="외" hidden="1">{#N/A,#N/A,FALSE,"단축1";#N/A,#N/A,FALSE,"단축2";#N/A,#N/A,FALSE,"단축3";#N/A,#N/A,FALSE,"장축";#N/A,#N/A,FALSE,"4WD"}</definedName>
    <definedName name="외상">'[1]9-1차이내역'!#REF!</definedName>
    <definedName name="외주계획" hidden="1">{#N/A,#N/A,TRUE,"Y생산";#N/A,#N/A,TRUE,"Y판매";#N/A,#N/A,TRUE,"Y총물량";#N/A,#N/A,TRUE,"Y능력";#N/A,#N/A,TRUE,"YKD"}</definedName>
    <definedName name="曜日">#REF!</definedName>
    <definedName name="용도차" hidden="1">{#N/A,#N/A,FALSE,"단축1";#N/A,#N/A,FALSE,"단축2";#N/A,#N/A,FALSE,"단축3";#N/A,#N/A,FALSE,"장축";#N/A,#N/A,FALSE,"4WD"}</definedName>
    <definedName name="우리홈쇼핑2월_Query">#REF!</definedName>
    <definedName name="운송">'[1]9-1차이내역'!#REF!</definedName>
    <definedName name="운송ㅁ">'[1]9-1차이내역'!#REF!</definedName>
    <definedName name="운송명세">'[1]9-1차이내역'!#REF!</definedName>
    <definedName name="원가1">[9]원가!$A$1:$I$31</definedName>
    <definedName name="월">[11]월간일정표!$E$2</definedName>
    <definedName name="月別_Daily_Data_tbl">#REF!</definedName>
    <definedName name="위스퍼그린">[4]!위스퍼그린</definedName>
    <definedName name="윙" hidden="1">{#N/A,#N/A,TRUE,"Y생산";#N/A,#N/A,TRUE,"Y판매";#N/A,#N/A,TRUE,"Y총물량";#N/A,#N/A,TRUE,"Y능력";#N/A,#N/A,TRUE,"YKD"}</definedName>
    <definedName name="유럽" hidden="1">{#N/A,#N/A,FALSE,"단축1";#N/A,#N/A,FALSE,"단축2";#N/A,#N/A,FALSE,"단축3";#N/A,#N/A,FALSE,"장축";#N/A,#N/A,FALSE,"4WD"}</definedName>
    <definedName name="유사시기">#REF!</definedName>
    <definedName name="유효" hidden="1">{#N/A,#N/A,FALSE,"단축1";#N/A,#N/A,FALSE,"단축2";#N/A,#N/A,FALSE,"단축3";#N/A,#N/A,FALSE,"장축";#N/A,#N/A,FALSE,"4WD"}</definedName>
    <definedName name="육">[20]위스키3!$A$43:$AC$63</definedName>
    <definedName name="음성">#REF!</definedName>
    <definedName name="음악">#REF!</definedName>
    <definedName name="이">[20]주류전체2!$A$17:$AC$32</definedName>
    <definedName name="이근한" hidden="1">{#N/A,#N/A,FALSE,"단축1";#N/A,#N/A,FALSE,"단축2";#N/A,#N/A,FALSE,"단축3";#N/A,#N/A,FALSE,"장축";#N/A,#N/A,FALSE,"4WD"}</definedName>
    <definedName name="이론">'[1]#REF'!#REF!</definedName>
    <definedName name="이미지">#REF!</definedName>
    <definedName name="이미지배너___전면배너___확장브랜딩배너_중_택일">#REF!</definedName>
    <definedName name="이소영" hidden="1">#REF!</definedName>
    <definedName name="이천만원패키지_예시">#REF!</definedName>
    <definedName name="인계획" hidden="1">{#N/A,#N/A,TRUE,"Y생산";#N/A,#N/A,TRUE,"Y판매";#N/A,#N/A,TRUE,"Y총물량";#N/A,#N/A,TRUE,"Y능력";#N/A,#N/A,TRUE,"YKD"}</definedName>
    <definedName name="인모비">[26]채널!$C$3:$C$21</definedName>
    <definedName name="인모비2">[26]채널!$C$3:$C$21</definedName>
    <definedName name="일">[20]주류전체2!$A$1:$AC$16</definedName>
    <definedName name="일이ㅏㄹ" hidden="1">{#N/A,#N/A,FALSE,"단축1";#N/A,#N/A,FALSE,"단축2";#N/A,#N/A,FALSE,"단축3";#N/A,#N/A,FALSE,"장축";#N/A,#N/A,FALSE,"4WD"}</definedName>
    <definedName name="일정">[8]일정표!$A$1:$AG$25</definedName>
    <definedName name="임" hidden="1">{#N/A,#N/A,FALSE,"단축1";#N/A,#N/A,FALSE,"단축2";#N/A,#N/A,FALSE,"단축3";#N/A,#N/A,FALSE,"장축";#N/A,#N/A,FALSE,"4WD"}</definedName>
    <definedName name="ㅈ">#REF!</definedName>
    <definedName name="ㅈㄴ">[12]시장!$A$1:$N$20</definedName>
    <definedName name="자잦" hidden="1">{#N/A,#N/A,FALSE,"단축1";#N/A,#N/A,FALSE,"단축2";#N/A,#N/A,FALSE,"단축3";#N/A,#N/A,FALSE,"장축";#N/A,#N/A,FALSE,"4WD"}</definedName>
    <definedName name="자재기준" hidden="1">{#N/A,#N/A,TRUE,"Y생산";#N/A,#N/A,TRUE,"Y판매";#N/A,#N/A,TRUE,"Y총물량";#N/A,#N/A,TRUE,"Y능력";#N/A,#N/A,TRUE,"YKD"}</definedName>
    <definedName name="장르">#REF!</definedName>
    <definedName name="저저">[12]캔개발배경!$A$1:$O$40</definedName>
    <definedName name="저지">[12]일정표!$A$1:$AG$25</definedName>
    <definedName name="전철" hidden="1">0</definedName>
    <definedName name="전체단가표">[27]전체단가표!$A$2:$F$140</definedName>
    <definedName name="전체단가표_3">[28]전체단가표!$A$2:$F$135</definedName>
    <definedName name="접수">[13]전담운영PM!#REF!</definedName>
    <definedName name="젖" hidden="1">{#N/A,#N/A,FALSE,"단축1";#N/A,#N/A,FALSE,"단축2";#N/A,#N/A,FALSE,"단축3";#N/A,#N/A,FALSE,"장축";#N/A,#N/A,FALSE,"4WD"}</definedName>
    <definedName name="제목">[9]제목!$A$4:$I$16</definedName>
    <definedName name="제작가이드드">[29]전체단가표!$A$2:$F$140</definedName>
    <definedName name="終業時間">[24]初期値!$F$3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짜" hidden="1">{#N/A,#N/A,FALSE,"단축1";#N/A,#N/A,FALSE,"단축2";#N/A,#N/A,FALSE,"단축3";#N/A,#N/A,FALSE,"장축";#N/A,#N/A,FALSE,"4WD"}</definedName>
    <definedName name="진짜살림">[1]!진짜살림</definedName>
    <definedName name="ㅊ">[2]채널!$C$3:$C$21</definedName>
    <definedName name="ㅊㅇㅇ">#REF!</definedName>
    <definedName name="ㅊㅍ" hidden="1">{#N/A,#N/A,FALSE,"단축1";#N/A,#N/A,FALSE,"단축2";#N/A,#N/A,FALSE,"단축3";#N/A,#N/A,FALSE,"장축";#N/A,#N/A,FALSE,"4WD"}</definedName>
    <definedName name="차량실적1">#REF!</definedName>
    <definedName name="차체" hidden="1">{#N/A,#N/A,FALSE,"단축1";#N/A,#N/A,FALSE,"단축2";#N/A,#N/A,FALSE,"단축3";#N/A,#N/A,FALSE,"장축";#N/A,#N/A,FALSE,"4WD"}</definedName>
    <definedName name="참고" hidden="1">{#N/A,#N/A,FALSE,"단축1";#N/A,#N/A,FALSE,"단축2";#N/A,#N/A,FALSE,"단축3";#N/A,#N/A,FALSE,"장축";#N/A,#N/A,FALSE,"4WD"}</definedName>
    <definedName name="참고1" hidden="1">{#N/A,#N/A,FALSE,"단축1";#N/A,#N/A,FALSE,"단축2";#N/A,#N/A,FALSE,"단축3";#N/A,#N/A,FALSE,"장축";#N/A,#N/A,FALSE,"4WD"}</definedName>
    <definedName name="창고보관">#REF!</definedName>
    <definedName name="창고화물검사">#REF!</definedName>
    <definedName name="창고화물취급">#REF!</definedName>
    <definedName name="채널">'[10]ART_9월+10월+11월 큐시트'!$P$4:$P$11</definedName>
    <definedName name="채널명">[30]채널!$C$3:$C$21</definedName>
    <definedName name="천만원패키지">#REF!</definedName>
    <definedName name="체크리스트" hidden="1">{#N/A,#N/A,FALSE,"Chi tiÆt"}</definedName>
    <definedName name="초기여백">#REF!</definedName>
    <definedName name="초수">#REF!</definedName>
    <definedName name="추진과제" hidden="1">{#N/A,#N/A,FALSE,"단축1";#N/A,#N/A,FALSE,"단축2";#N/A,#N/A,FALSE,"단축3";#N/A,#N/A,FALSE,"장축";#N/A,#N/A,FALSE,"4WD"}</definedName>
    <definedName name="축소">#REF!</definedName>
    <definedName name="축소1">#REF!</definedName>
    <definedName name="출고가">'[9]원가,목표'!$A$1:$H$14</definedName>
    <definedName name="취소">[1]!취소</definedName>
    <definedName name="ㅋㅋ" hidden="1">{#N/A,#N/A,TRUE,"Y생산";#N/A,#N/A,TRUE,"Y판매";#N/A,#N/A,TRUE,"Y총물량";#N/A,#N/A,TRUE,"Y능력";#N/A,#N/A,TRUE,"YKD"}</definedName>
    <definedName name="ㅋㅋㅋ">[4]!ㅋㅋㅋ</definedName>
    <definedName name="ㅋㅌ" hidden="1">{#N/A,#N/A,FALSE,"단축1";#N/A,#N/A,FALSE,"단축2";#N/A,#N/A,FALSE,"단축3";#N/A,#N/A,FALSE,"장축";#N/A,#N/A,FALSE,"4WD"}</definedName>
    <definedName name="컨텐츠">#REF!</definedName>
    <definedName name="큐시트">[4]!큐시트</definedName>
    <definedName name="ㅌ">'[16]2010년 라인업'!#REF!</definedName>
    <definedName name="타겟팅">#REF!</definedName>
    <definedName name="텍스트_배경컬러">#REF!</definedName>
    <definedName name="텍스트_본문컬러">#REF!</definedName>
    <definedName name="텍스트_제목컬러">#REF!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가격" hidden="1">{#N/A,#N/A,FALSE,"단축1";#N/A,#N/A,FALSE,"단축2";#N/A,#N/A,FALSE,"단축3";#N/A,#N/A,FALSE,"장축";#N/A,#N/A,FALSE,"4WD"}</definedName>
    <definedName name="판매계획">[9]판매!$A$1:$G$24</definedName>
    <definedName name="판스티커">#REF!</definedName>
    <definedName name="판촉">[9]판촉!$A$1:$L$27</definedName>
    <definedName name="패턴화면">#REF!</definedName>
    <definedName name="평균검색">#REF!</definedName>
    <definedName name="포지1" hidden="1">{#N/A,#N/A,FALSE,"단축1";#N/A,#N/A,FALSE,"단축2";#N/A,#N/A,FALSE,"단축3";#N/A,#N/A,FALSE,"장축";#N/A,#N/A,FALSE,"4WD"}</definedName>
    <definedName name="표지">[31]표지!$A$1:$G$15</definedName>
    <definedName name="표지_PTN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프리베나_Daily_Report">#REF!</definedName>
    <definedName name="필드">#REF!</definedName>
    <definedName name="ㅎ" hidden="1">{#N/A,#N/A,FALSE,"단축1";#N/A,#N/A,FALSE,"단축2";#N/A,#N/A,FALSE,"단축3";#N/A,#N/A,FALSE,"장축";#N/A,#N/A,FALSE,"4WD"}</definedName>
    <definedName name="ㅎㅎㅎ" hidden="1">#REF!</definedName>
    <definedName name="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항" hidden="1">{#N/A,#N/A,FALSE,"단축1";#N/A,#N/A,FALSE,"단축2";#N/A,#N/A,FALSE,"단축3";#N/A,#N/A,FALSE,"장축";#N/A,#N/A,FALSE,"4WD"}</definedName>
    <definedName name="행복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現代綜合商事經由分">'[1]#REF'!#REF!</definedName>
    <definedName name="협조">[9]협조!$A$2:$K$33</definedName>
    <definedName name="호">#REF!</definedName>
    <definedName name="화주요구접수">#REF!</definedName>
    <definedName name="ㅏ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ㅣㅐㅍ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ㅛㅕㅗㅓ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ㅜ1">[32]품종별월계!#REF!</definedName>
    <definedName name="ㅠㅠㅠ" hidden="1">#REF!</definedName>
    <definedName name="ㅡ" hidden="1">{#N/A,#N/A,FALSE,"단축1";#N/A,#N/A,FALSE,"단축2";#N/A,#N/A,FALSE,"단축3";#N/A,#N/A,FALSE,"장축";#N/A,#N/A,FALSE,"4WD"}</definedName>
    <definedName name="ㅣ" hidden="1">{#N/A,#N/A,FALSE,"신규dep";#N/A,#N/A,FALSE,"신규dep-금형상각후";#N/A,#N/A,FALSE,"신규dep-연구비상각후";#N/A,#N/A,FALSE,"신규dep-기계,공구상각후"}</definedName>
    <definedName name="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2" l="1"/>
  <c r="N8" i="2"/>
  <c r="O8" i="2"/>
  <c r="P8" i="2"/>
  <c r="Q8" i="2"/>
  <c r="M19" i="2"/>
  <c r="N19" i="2"/>
  <c r="O19" i="2"/>
  <c r="P19" i="2"/>
  <c r="Q19" i="2"/>
  <c r="Q21" i="2" l="1"/>
  <c r="P21" i="2"/>
  <c r="O21" i="2"/>
  <c r="N21" i="2"/>
  <c r="M21" i="2"/>
  <c r="Q20" i="2"/>
  <c r="P20" i="2"/>
  <c r="O20" i="2"/>
  <c r="N20" i="2"/>
  <c r="M20" i="2"/>
  <c r="Q18" i="2"/>
  <c r="P18" i="2"/>
  <c r="O18" i="2"/>
  <c r="N18" i="2"/>
  <c r="M18" i="2"/>
  <c r="Q17" i="2"/>
  <c r="P17" i="2"/>
  <c r="O17" i="2"/>
  <c r="N17" i="2"/>
  <c r="M17" i="2"/>
  <c r="Q16" i="2"/>
  <c r="P16" i="2"/>
  <c r="O16" i="2"/>
  <c r="N16" i="2"/>
  <c r="M16" i="2"/>
  <c r="Q15" i="2"/>
  <c r="P15" i="2"/>
  <c r="O15" i="2"/>
  <c r="N15" i="2"/>
  <c r="M15" i="2"/>
  <c r="Q14" i="2"/>
  <c r="P14" i="2"/>
  <c r="O14" i="2"/>
  <c r="N14" i="2"/>
  <c r="M14" i="2"/>
  <c r="Q13" i="2"/>
  <c r="P13" i="2"/>
  <c r="O13" i="2"/>
  <c r="N13" i="2"/>
  <c r="M13" i="2"/>
  <c r="Q12" i="2"/>
  <c r="P12" i="2"/>
  <c r="O12" i="2"/>
  <c r="N12" i="2"/>
  <c r="M12" i="2"/>
  <c r="Q11" i="2"/>
  <c r="P11" i="2"/>
  <c r="O11" i="2"/>
  <c r="N11" i="2"/>
  <c r="M11" i="2"/>
  <c r="Q10" i="2"/>
  <c r="P10" i="2"/>
  <c r="O10" i="2"/>
  <c r="N10" i="2"/>
  <c r="M10" i="2"/>
  <c r="Q9" i="2"/>
  <c r="P9" i="2"/>
  <c r="O9" i="2"/>
  <c r="N9" i="2"/>
  <c r="M9" i="2"/>
  <c r="Q7" i="2"/>
  <c r="P7" i="2"/>
  <c r="O7" i="2"/>
  <c r="N7" i="2"/>
  <c r="M7" i="2"/>
  <c r="Q6" i="2"/>
  <c r="P6" i="2"/>
  <c r="O6" i="2"/>
  <c r="N6" i="2"/>
  <c r="M6" i="2"/>
  <c r="Q5" i="2"/>
  <c r="P5" i="2"/>
  <c r="O5" i="2"/>
  <c r="N5" i="2"/>
  <c r="M5" i="2"/>
  <c r="Q4" i="2"/>
  <c r="P4" i="2"/>
  <c r="O4" i="2"/>
  <c r="N4" i="2"/>
  <c r="M4" i="2"/>
  <c r="Q3" i="2"/>
  <c r="P3" i="2"/>
  <c r="O3" i="2"/>
  <c r="N3" i="2"/>
  <c r="M3" i="2"/>
  <c r="Q2" i="2"/>
  <c r="P2" i="2"/>
  <c r="O2" i="2"/>
  <c r="N2" i="2"/>
  <c r="M2" i="2"/>
</calcChain>
</file>

<file path=xl/sharedStrings.xml><?xml version="1.0" encoding="utf-8"?>
<sst xmlns="http://schemas.openxmlformats.org/spreadsheetml/2006/main" count="100" uniqueCount="59">
  <si>
    <t>상담일자</t>
  </si>
  <si>
    <t>Dnis</t>
  </si>
  <si>
    <t>Channel</t>
  </si>
  <si>
    <t>I/B콜수</t>
  </si>
  <si>
    <t>응대호</t>
  </si>
  <si>
    <t>1899-7325</t>
  </si>
  <si>
    <t>2102-4590</t>
  </si>
  <si>
    <t>발신</t>
  </si>
  <si>
    <t>1899-0219</t>
  </si>
  <si>
    <t>SPOTV</t>
  </si>
  <si>
    <t>1899-0218</t>
  </si>
  <si>
    <t>EBS</t>
  </si>
  <si>
    <t>1899-0519</t>
  </si>
  <si>
    <t>SPOTV2</t>
  </si>
  <si>
    <t>1899-0776</t>
  </si>
  <si>
    <t>라이프타임</t>
  </si>
  <si>
    <t>1899-5186</t>
  </si>
  <si>
    <t>시네마천국</t>
  </si>
  <si>
    <t>1899-7314</t>
  </si>
  <si>
    <t>1899-0325</t>
  </si>
  <si>
    <t>1899-7326</t>
  </si>
  <si>
    <t>정기건수</t>
    <phoneticPr fontId="18" type="noConversion"/>
  </si>
  <si>
    <t>정기금액</t>
    <phoneticPr fontId="18" type="noConversion"/>
  </si>
  <si>
    <t>일시건수</t>
    <phoneticPr fontId="18" type="noConversion"/>
  </si>
  <si>
    <t>일시금액</t>
    <phoneticPr fontId="18" type="noConversion"/>
  </si>
  <si>
    <t>SPOTV G&amp;H (SVC)</t>
  </si>
  <si>
    <t>JTBC2 (SVC)</t>
  </si>
  <si>
    <t>히스토리 (SVC)</t>
  </si>
  <si>
    <t>기타 TV채널</t>
  </si>
  <si>
    <t>소재</t>
    <phoneticPr fontId="18" type="noConversion"/>
  </si>
  <si>
    <t>광고비</t>
    <phoneticPr fontId="18" type="noConversion"/>
  </si>
  <si>
    <t>광고횟수</t>
    <phoneticPr fontId="18" type="noConversion"/>
  </si>
  <si>
    <t>ROI</t>
  </si>
  <si>
    <t>CPR</t>
  </si>
  <si>
    <t>응대율</t>
  </si>
  <si>
    <t>콜전환율</t>
  </si>
  <si>
    <t>정기전환율</t>
  </si>
  <si>
    <t>-</t>
  </si>
  <si>
    <t>식사지원 예진</t>
  </si>
  <si>
    <t>1899-0263</t>
  </si>
  <si>
    <t>이유식 안부</t>
  </si>
  <si>
    <t>1899-7319</t>
  </si>
  <si>
    <t>식사지원 준우_메인</t>
  </si>
  <si>
    <t>1899-3569</t>
  </si>
  <si>
    <t>식사지원 준우_아동</t>
  </si>
  <si>
    <t>1899-7318</t>
  </si>
  <si>
    <t>1899-0795</t>
  </si>
  <si>
    <t>1899-7317</t>
  </si>
  <si>
    <t>빌리어즈TV</t>
  </si>
  <si>
    <t>1899-0739</t>
  </si>
  <si>
    <t>채널S플러스</t>
  </si>
  <si>
    <t>1899-0217</t>
    <phoneticPr fontId="18" type="noConversion"/>
  </si>
  <si>
    <t>엠플렉스</t>
    <phoneticPr fontId="18" type="noConversion"/>
  </si>
  <si>
    <t>바둑TV</t>
    <phoneticPr fontId="18" type="noConversion"/>
  </si>
  <si>
    <t>1899-7315</t>
    <phoneticPr fontId="18" type="noConversion"/>
  </si>
  <si>
    <t>신장질환 세나</t>
  </si>
  <si>
    <t>신장질환 세나</t>
    <phoneticPr fontId="18" type="noConversion"/>
  </si>
  <si>
    <t>엄마의 마음</t>
  </si>
  <si>
    <t>JTBC4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</si>
</sst>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</cellStyleXfs>
  <cellXfs count="8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1" fontId="19" fillId="0" borderId="0" xfId="1" applyFont="1" applyAlignment="1">
      <alignment horizontal="center" vertical="center"/>
    </xf>
    <xf numFmtId="41" fontId="19" fillId="0" borderId="0" xfId="1" applyFont="1" applyAlignment="1">
      <alignment horizontal="right" vertical="center"/>
    </xf>
    <xf numFmtId="9" fontId="19" fillId="0" borderId="0" xfId="2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right" vertical="center"/>
    </xf>
  </cellXfs>
  <cellStyles count="48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쉼표 [0] 2 4" xfId="44" xr:uid="{0A6C4DF9-9E6D-45C6-919B-303CADBECEF8}"/>
    <cellStyle name="쉼표 [0] 4 11" xfId="45" xr:uid="{97D367DE-59C5-4B6F-86E6-EAB9DC093D50}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7" xr:uid="{23AF3710-B352-4760-86B9-F9E139C5CF0E}"/>
    <cellStyle name="표준 2 2" xfId="46" xr:uid="{83B25716-9DC3-4B89-B3A6-51CC78BBB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798EB61B\channel_shceduler_1005_&#51452;&#44036;&#54200;&#494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324;&#54924;\Synad\&#44305;&#44256;&#51652;&#54665;&#49345;&#54889;\Accumulated%20Performance%20Data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652;&#50724;\My%20Documents\&#51228;&#50504;&#49436;\2010%202&#50900;\&#54140;&#54540;\&#51228;&#50504;&#49436;&amp;&#44144;&#47000;&#47749;&#49464;&#49436;\&#51060;&#50689;&#51452;&#52264;&#51109;&#45784;\&#50508;\&#49569;&#54028;-&#54616;&#51060;&#49828;&#53944;%20(&#50696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LEE\%23P&amp;G\P&amp;g98\P&amp;G98%20Bgt-Mda%20update\P&amp;G907%20BGT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hn\&#48148;&#53461;%20&#54868;&#47732;\NHN.Media%20Proposal.nhn..06&#45380;%2012&#509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KIM%20JUNG%20WON\AppData\Local\Microsoft\Windows\Temporary%20Internet%20Files\Content.Outlook\NQTICRAG\Smart%20BIG%20AD+ART+ARA_&#54056;&#49496;&#44536;&#47353;&#54805;&#51648;_&#44620;&#49828;&#53588;&#48148;&#51145;_&#51228;&#50504;&#45236;&#50669;(3&#44060;&#50900;)_DARTmedi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45.%20&#50724;&#44048;&#46020;\11.%20PR\01.%20&#52968;&#53584;&#52768;\&#50724;%20&#44048;%20&#46020;\&#50900;&#44036;&#51068;&#51221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ioffice/cache/temp/2001&#50504;&#50577;&#49849;(&#44400;&#54252;)/&#54788;&#45824;&#54856;&#49660;&#54609;/&#50629;&#47924;PM/5&#51204;&#45812;&#44288;&#47532;(200211).XLS" TargetMode="External"/><Relationship Id="rId1" Type="http://schemas.openxmlformats.org/officeDocument/2006/relationships/externalLinkPath" Target="/hioffice/cache/temp/2001&#50504;&#50577;&#49849;(&#44400;&#54252;)/&#54788;&#45824;&#54856;&#49660;&#54609;/&#50629;&#47924;PM/5&#51204;&#45812;&#44288;&#47532;(20021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AA\AppData\Local\Microsoft\Windows\Temporary%20Internet%20Files\Content.Outlook\XB5H0ZTH\2011_&#50689;&#54868;&#47588;&#52404;&#48708;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user\Desktop\&#51228;&#50504;&#49436;&#54268;\&#9733;2017%20MAN&amp;M-play%20MIX_ver.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hiny\My%20Documents\&#45348;&#51060;&#53944;&#50728;%20&#48155;&#51008;%20&#54028;&#51068;\&#51060;&#44163;&#51200;&#44163;\&#50689;&#54868;%20DB\&#51060;&#44163;&#51200;&#44163;\&#50689;&#54868;%20DB\&#50689;&#54868;%20DB\&#50689;&#54868;%20DB\(DMC)2010&#45380;%20&#50689;&#54868;%20&#47588;&#52404;&#48708;%20&#48143;%20CTR%20&#53685;&#54633;%20D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nhn\&#48148;&#53461;%20&#54868;&#47732;\200611_&#54616;&#45208;TPS_ver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iskstation\02_&#48120;&#46356;&#50612;&#49324;&#50629;&#48512;\Documents%20and%20Settings\nhn\&#48148;&#53461;%20&#54868;&#47732;\NHN.Media%20Proposal.nhn..06&#45380;%2012&#5090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0865;&#51652;\&#44277;&#50976;\PC\97BUDGET\&#52509;&#44288;&#47532;&#487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min\Desktop\(DMC)2010&#45380;%20&#50689;&#54868;%20&#47588;&#52404;&#48708;%20&#48143;%20CTR%20&#53685;&#54633;%20DB_10&#509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35.170.23\Documents%20and%20Settings\Administrator\Local%20Settings\Temporary%20Internet%20Files\Content.Outlook\JFFXR06E\2010&#45380;&#54032;&#47588;&#51221;&#52293;\PrePlay\2010&#45380;%20&#54032;&#47588;&#51221;&#52293;_04_121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Lod12\247server\&#49324;&#54924;\Synad\&#44305;&#44256;&#51652;&#54665;&#49345;&#54889;\Accumulated%20Performance%20Data_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VEGAS\doc\KINMU\XLS\&#26085;&#39640;\&#21220;&#24608;&#34920;&#26085;&#39640;00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21.124.154.3\2013&#45380;\5&#48376;&#48512;\03.%20&#50689;&#54868;&#51088;&#47308;\03.&#44305;&#44256;&#48708;\&#50689;&#54868;&#47588;&#52404;&#48708;_2010_2011_2012_2013_062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92.168.0.250\Users\Administrator\AppData\Local\Microsoft\Windows\Temporary%20Internet%20Files\Content.Outlook\PPWLRWUO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51060;&#49440;&#54868;\&#48148;&#53461;%20&#54868;&#47732;\NHN.Media%20Proposal.nhn.ver1.5.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7928;&#50689;\Local%20Settings\Temporary%20Internet%20Files\OLK42\Documents%20and%20Settings\nhn\My%20Documents\&#47588;&#52404;%20&#51228;&#50504;&#49436;\NHN.Media%20Proposal.nhn.ver1.5.1215(06.11&#50900;&#44592;&#51456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060;&#49440;&#54868;\&#48148;&#53461;%20&#54868;&#47732;\NHN.Media%20Proposal.nhn.ver1.5.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apture1\AppData\Roaming\Microsoft\Excel\Users\&#48149;&#51221;&#50980;\Documents\nasmedia%20messenger%20&#48155;&#51008;%20&#54028;&#51068;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9-1차이내역"/>
      <sheetName val="#REF"/>
      <sheetName val="Sheet1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Sheet3"/>
      <sheetName val="총광고비별순위200901-09 1 "/>
      <sheetName val="Sheet2"/>
      <sheetName val="2"/>
      <sheetName val="간이연락"/>
      <sheetName val="B-III"/>
      <sheetName val="CALENDAR"/>
      <sheetName val="가격표"/>
      <sheetName val="예산계획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캔개발배경"/>
      <sheetName val="캔판매목표"/>
      <sheetName val="시장"/>
      <sheetName val="손익"/>
      <sheetName val="일정표"/>
      <sheetName val="Analysis"/>
      <sheetName val="4월자금"/>
      <sheetName val=""/>
      <sheetName val="20년06월"/>
      <sheetName val="20년07월"/>
      <sheetName val="20년08월 "/>
      <sheetName val="20년09월"/>
      <sheetName val="20년10월"/>
      <sheetName val="20년11월"/>
      <sheetName val="20년12월"/>
      <sheetName val="운행안(이채널)"/>
      <sheetName val="상품명(지우지말것)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합계"/>
      <sheetName val="IO&amp;GL"/>
      <sheetName val="다음"/>
      <sheetName val="조인스MSN"/>
      <sheetName val="Daum"/>
      <sheetName val="2010년 Movie DB"/>
      <sheetName val="페이스북 모바일 DA 요약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Accumulated Performance Data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송파-하이스트 (예정)"/>
    </sheetNames>
    <definedNames>
      <definedName name="eee"/>
      <definedName name="f"/>
      <definedName name="fdafdas"/>
      <definedName name="main"/>
      <definedName name="mnet"/>
      <definedName name="ppt"/>
      <definedName name="qqq"/>
      <definedName name="RTE"/>
      <definedName name="가나" refersTo="#REF!"/>
      <definedName name="관리비근거" refersTo="#REF!"/>
      <definedName name="넥스투어" refersTo="#REF!"/>
      <definedName name="ㄷㄷㄷ" refersTo="#REF!"/>
      <definedName name="드라마" refersTo="#REF!"/>
      <definedName name="ㅂㅂㅂ" refersTo="#REF!"/>
      <definedName name="ㅂㅂㅂㅂ" refersTo="#REF!"/>
      <definedName name="본부" refersTo="#REF!"/>
      <definedName name="상수" refersTo="#REF!"/>
      <definedName name="서초1" refersTo="#REF!"/>
      <definedName name="서초5" refersTo="#REF!"/>
      <definedName name="수금계획" refersTo="#REF!"/>
      <definedName name="스포" refersTo="#REF!"/>
      <definedName name="스핀브러" refersTo="#REF!"/>
      <definedName name="스핀브러쉬" refersTo="#REF!"/>
      <definedName name="위스퍼그린" refersTo="#REF!"/>
      <definedName name="ㅋㅋㅋ" refersTo="#REF!"/>
      <definedName name="큐시트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cmpt2"/>
      <sheetName val="laroux"/>
      <sheetName val="Sheet2"/>
      <sheetName val="Sheet1"/>
      <sheetName val="TV_Billing1"/>
      <sheetName val="한국피앤지(3)"/>
      <sheetName val="한국피앤지"/>
      <sheetName val="한국피앤지 (2)"/>
      <sheetName val="KOBACO"/>
      <sheetName val="Cll Rpt"/>
      <sheetName val="#cmpt1"/>
      <sheetName val="#Budget"/>
      <sheetName val="#Budget (2)"/>
      <sheetName val="Bonus Index"/>
      <sheetName val="Bonus"/>
      <sheetName val="#Buying Brf"/>
      <sheetName val="Bgt Apprvl"/>
      <sheetName val="R&amp;F Forecast"/>
      <sheetName val="코드"/>
      <sheetName val="9801"/>
      <sheetName val="P&amp;G907 BGTM"/>
      <sheetName val="보증금"/>
      <sheetName val="Lead"/>
      <sheetName val="4.경비 5.영업외수지"/>
      <sheetName val="4월"/>
      <sheetName val="광고판매(2010년 1월)"/>
      <sheetName val="광고판매(2010년 2월)"/>
      <sheetName val="12월(시급반영)"/>
      <sheetName val="2010년1월(시급반영)"/>
      <sheetName val="ML"/>
      <sheetName val="한국피앤지_(2)"/>
      <sheetName val="Cll_Rpt"/>
      <sheetName val="#Budget_(2)"/>
      <sheetName val="Bonus_Index"/>
      <sheetName val="#Buying_Brf"/>
      <sheetName val="Bgt_Apprvl"/>
      <sheetName val="R&amp;F_Forecast"/>
      <sheetName val="4_경비_5_영업외수지"/>
      <sheetName val="P&amp;G907_BGTM"/>
      <sheetName val="광고판매(2010년_1월)"/>
      <sheetName val="광고판매(2010년_2월)"/>
      <sheetName val=" 견적서"/>
      <sheetName val="소비자가"/>
      <sheetName val="#REF"/>
      <sheetName val="별첨4_전담운영PM(1)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Import"/>
      <sheetName val="채권(하반기)"/>
      <sheetName val="DB"/>
      <sheetName val="98종합"/>
      <sheetName val="전체현황"/>
      <sheetName val="유통망계획"/>
      <sheetName val="항목정리 (3)"/>
      <sheetName val="MediaMix"/>
      <sheetName val="Gen Assumptions"/>
      <sheetName val="Analysis"/>
      <sheetName val="차수"/>
      <sheetName val="생산"/>
      <sheetName val="한계원가"/>
      <sheetName val="ROV_Analysis"/>
      <sheetName val="1.2 IS-BS assumptions"/>
      <sheetName val="DATA"/>
      <sheetName val="Configuration"/>
      <sheetName val="JournalSummary"/>
      <sheetName val="대차대조표"/>
      <sheetName val="memo"/>
      <sheetName val="PR Upside"/>
      <sheetName val="BD TY"/>
      <sheetName val="Rental"/>
      <sheetName val="Macro1"/>
      <sheetName val="Staff Cost"/>
      <sheetName val="XL4Poppy"/>
      <sheetName val="REF"/>
      <sheetName val="Calc"/>
      <sheetName val="미지급이자(분쟁대상)"/>
      <sheetName val="간이연락"/>
      <sheetName val="방송부문 월별실적 관리_방송글로벌_v0403.xlsx"/>
      <sheetName val="Revenue"/>
      <sheetName val="Input"/>
      <sheetName val="Comps"/>
      <sheetName val="PTR台손익"/>
      <sheetName val="Prices"/>
      <sheetName val="운행안(이채널)"/>
      <sheetName val="엔미즈_코리아"/>
      <sheetName val="CHECK"/>
      <sheetName val="Code"/>
      <sheetName val="원본"/>
      <sheetName val="차액보증"/>
      <sheetName val="เงินกู้ธนชาติ"/>
      <sheetName val="เงินกู้ MGC"/>
      <sheetName val="FRECEFECBAILEYS"/>
      <sheetName val="한국피앤지_(2)1"/>
      <sheetName val="점공통경비배부"/>
      <sheetName val="세부예산"/>
      <sheetName val="1-2"/>
      <sheetName val="지급예정표(10일현금)"/>
      <sheetName val="ACT"/>
      <sheetName val="전체단가표"/>
      <sheetName val="한국피앤지_(2)2"/>
      <sheetName val="Cll_Rpt1"/>
      <sheetName val="#Budget_(2)1"/>
      <sheetName val="Bonus_Index1"/>
      <sheetName val="#Buying_Brf1"/>
      <sheetName val="Bgt_Apprvl1"/>
      <sheetName val="R&amp;F_Forecast1"/>
      <sheetName val="P&amp;G907_BGTM1"/>
      <sheetName val="4_경비_5_영업외수지1"/>
      <sheetName val="광고판매(2010년_1월)1"/>
      <sheetName val="광고판매(2010년_2월)1"/>
      <sheetName val="_견적서"/>
      <sheetName val="항목정리_(3)"/>
      <sheetName val="Gen_Assumptions"/>
      <sheetName val="1_2_IS-BS_assumptions"/>
      <sheetName val="PR_Upside"/>
      <sheetName val="BD_TY"/>
      <sheetName val="Staff_Cost"/>
      <sheetName val="방송부문_월별실적_관리_방송글로벌_v0403_xlsx"/>
      <sheetName val="เงินกู้_MGC"/>
      <sheetName val="기본 raw 판 (7개 타겟)_old"/>
      <sheetName val="Backup"/>
      <sheetName val="Cover Estimator"/>
      <sheetName val="부서별(배부후)_계획"/>
      <sheetName val="Cover"/>
      <sheetName val="한국피앤지_(2)3"/>
      <sheetName val="Cll_Rpt2"/>
      <sheetName val="#Budget_(2)2"/>
      <sheetName val="Bonus_Index2"/>
      <sheetName val="#Buying_Brf2"/>
      <sheetName val="Bgt_Apprvl2"/>
      <sheetName val="R&amp;F_Forecast2"/>
      <sheetName val="P&amp;G907_BGTM2"/>
      <sheetName val="4_경비_5_영업외수지2"/>
      <sheetName val="광고판매(2010년_1월)2"/>
      <sheetName val="광고판매(2010년_2월)2"/>
      <sheetName val="_견적서1"/>
      <sheetName val="항목정리_(3)1"/>
      <sheetName val="Gen_Assumptions1"/>
      <sheetName val="1_2_IS-BS_assumptions1"/>
      <sheetName val="Staff_Cost1"/>
      <sheetName val="PR_Upside1"/>
      <sheetName val="BD_TY1"/>
      <sheetName val="방송부문_월별실적_관리_방송글로벌_v0403_xlsx1"/>
      <sheetName val="เงินกู้_MGC1"/>
      <sheetName val="기본_raw_판_(7개_타겟)_old"/>
      <sheetName val="Cover_Estimator"/>
      <sheetName val="Prime 비중"/>
      <sheetName val="Premium Position"/>
      <sheetName val="P&amp;G907_BGTM3"/>
      <sheetName val="Cll_Rpt3"/>
      <sheetName val="#Budget_(2)3"/>
      <sheetName val="Bonus_Index3"/>
      <sheetName val="#Buying_Brf3"/>
      <sheetName val="Bgt_Apprvl3"/>
      <sheetName val="R&amp;F_Forecast3"/>
      <sheetName val="4_경비_5_영업외수지3"/>
      <sheetName val="광고판매(2010년_1월)3"/>
      <sheetName val="광고판매(2010년_2월)3"/>
      <sheetName val="_견적서2"/>
      <sheetName val="항목정리_(3)2"/>
      <sheetName val="Gen_Assumptions2"/>
      <sheetName val="1_2_IS-BS_assumptions2"/>
      <sheetName val="Staff_Cost2"/>
      <sheetName val="PR_Upside2"/>
      <sheetName val="BD_TY2"/>
      <sheetName val="방송부문_월별실적_관리_방송글로벌_v0403_xlsx2"/>
      <sheetName val="เงินกู้_MGC2"/>
      <sheetName val="월별"/>
      <sheetName val="96제조"/>
      <sheetName val="기본"/>
      <sheetName val="한국피앤지_(2)4"/>
      <sheetName val="Cll_Rpt4"/>
      <sheetName val="#Budget_(2)4"/>
      <sheetName val="Bonus_Index4"/>
      <sheetName val="#Buying_Brf4"/>
      <sheetName val="Bgt_Apprvl4"/>
      <sheetName val="R&amp;F_Forecast4"/>
      <sheetName val="P&amp;G907_BGTM4"/>
      <sheetName val="4_경비_5_영업외수지4"/>
      <sheetName val="광고판매(2010년_1월)4"/>
      <sheetName val="광고판매(2010년_2월)4"/>
      <sheetName val="_견적서3"/>
      <sheetName val="항목정리_(3)3"/>
      <sheetName val="Gen_Assumptions3"/>
      <sheetName val="1_2_IS-BS_assumptions3"/>
      <sheetName val="PR_Upside3"/>
      <sheetName val="BD_TY3"/>
      <sheetName val="Staff_Cost3"/>
      <sheetName val="방송부문_월별실적_관리_방송글로벌_v0403_xlsx3"/>
      <sheetName val="เงินกู้_MGC3"/>
      <sheetName val="Prime_비중"/>
      <sheetName val="Premium_Position"/>
      <sheetName val="MediaMix_G마켓"/>
      <sheetName val="55% and 70%"/>
      <sheetName val="보고"/>
      <sheetName val="신대방33(적용)"/>
      <sheetName val="제작가이드(10월)"/>
      <sheetName val="Creative Guide"/>
      <sheetName val="PRC-TV (0)"/>
      <sheetName val="GDP"/>
      <sheetName val="Pluri Media"/>
      <sheetName val="전체실적"/>
      <sheetName val="아프리카TV"/>
      <sheetName val="카테고리 분류"/>
      <sheetName val="YOEMAGUM"/>
      <sheetName val="수불부"/>
      <sheetName val="한국피앤지_(2)5"/>
      <sheetName val="Cll_Rpt5"/>
      <sheetName val="#Budget_(2)5"/>
      <sheetName val="Bonus_Index5"/>
      <sheetName val="#Buying_Brf5"/>
      <sheetName val="Bgt_Apprvl5"/>
      <sheetName val="R&amp;F_Forecast5"/>
      <sheetName val="P&amp;G907_BGTM5"/>
      <sheetName val="4_경비_5_영업외수지5"/>
      <sheetName val="광고판매(2010년_1월)5"/>
      <sheetName val="광고판매(2010년_2월)5"/>
      <sheetName val="_견적서4"/>
      <sheetName val="항목정리_(3)4"/>
      <sheetName val="Gen_Assumptions4"/>
      <sheetName val="1_2_IS-BS_assumptions4"/>
      <sheetName val="Staff_Cost4"/>
      <sheetName val="PR_Upside4"/>
      <sheetName val="BD_TY4"/>
      <sheetName val="방송부문_월별실적_관리_방송글로벌_v0403_xlsx4"/>
      <sheetName val="เงินกู้_MGC4"/>
      <sheetName val="기본_raw_판_(7개_타겟)_old1"/>
      <sheetName val="Cover_Estimator1"/>
      <sheetName val="Prime_비중1"/>
      <sheetName val="Premium_Position1"/>
      <sheetName val="55%_and_70%"/>
      <sheetName val="PRC-TV_(0)"/>
      <sheetName val="Pluri_Media"/>
      <sheetName val="Creative_Guide"/>
      <sheetName val="카테고리_분류"/>
      <sheetName val="admin"/>
      <sheetName val="기본자료(재직자)"/>
      <sheetName val="빼빼로"/>
      <sheetName val="엔미즈"/>
      <sheetName val="미세스키홈스쿨 (3)"/>
      <sheetName val="미세스키홈스쿨 (2)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KT wifi_MO"/>
      <sheetName val="Source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Graph"/>
      <sheetName val="初期値"/>
      <sheetName val="August_MediaMix"/>
      <sheetName val="SKT_wifi_MO"/>
      <sheetName val="2010년 Movie DB"/>
      <sheetName val="Definitions"/>
      <sheetName val="손익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실"/>
      <sheetName val="가격검토"/>
      <sheetName val="추가예산"/>
      <sheetName val="Import"/>
      <sheetName val="유통조직현황"/>
      <sheetName val="구분"/>
      <sheetName val="MOLOCO_RAW"/>
      <sheetName val="HBOSubRev"/>
      <sheetName val="Tabelas"/>
      <sheetName val="합계잔액시산표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media_mix"/>
      <sheetName val="마리프랑스_12월_추가"/>
      <sheetName val="엔미즈_코리아"/>
      <sheetName val="Reach"/>
      <sheetName val="Plan"/>
      <sheetName val="media_mix1"/>
      <sheetName val="마리프랑스_12월_추가1"/>
      <sheetName val="TOTAL WE PBC"/>
      <sheetName val="SF1 L"/>
      <sheetName val="SF1 O"/>
      <sheetName val="media_mix2"/>
      <sheetName val="마리프랑스_12월_추가2"/>
      <sheetName val="MOLOCO_RAW"/>
      <sheetName val="Tapgoy_RAW"/>
      <sheetName val="손익"/>
      <sheetName val="양식3"/>
      <sheetName val="flatpricebycountry"/>
      <sheetName val="slopes"/>
      <sheetName val="원본"/>
      <sheetName val="TOTAL_WE_PBC"/>
      <sheetName val="SF1_L"/>
      <sheetName val="SF1_O"/>
      <sheetName val="배부전"/>
      <sheetName val="Graph"/>
      <sheetName val="DB"/>
      <sheetName val="월간일정표"/>
      <sheetName val="합계잔액시산표"/>
      <sheetName val="구분"/>
      <sheetName val="항목정리 (3)"/>
      <sheetName val="업무연락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2"/>
      <sheetName val="개발실"/>
      <sheetName val="최종리포트"/>
      <sheetName val="홈엔"/>
      <sheetName val="hide"/>
      <sheetName val="캔개발배경"/>
      <sheetName val="시장"/>
      <sheetName val="일정표"/>
      <sheetName val="初期値"/>
      <sheetName val="2010년 Movie DB"/>
      <sheetName val="E채널"/>
      <sheetName val="제안"/>
      <sheetName val="w2544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  <sheetName val="Plan"/>
      <sheetName val="커스텀 타겟팅 리스트"/>
      <sheetName val="전체단가표"/>
      <sheetName val="개요"/>
      <sheetName val="마케팅"/>
      <sheetName val="목차"/>
      <sheetName val="추정손익"/>
      <sheetName val="실적"/>
      <sheetName val="원가"/>
      <sheetName val="원가,목표"/>
      <sheetName val="판매"/>
      <sheetName val="판촉"/>
      <sheetName val="커스텀_타겟팅_리스트"/>
      <sheetName val="R&amp;D"/>
      <sheetName val="pr34"/>
      <sheetName val="ꠀ짜4"/>
      <sheetName val="중간감사결과보고"/>
      <sheetName val="Macro1"/>
      <sheetName val="SF1 L"/>
      <sheetName val="SF1 O"/>
      <sheetName val="백데이터"/>
      <sheetName val="조정전"/>
      <sheetName val="Rental"/>
      <sheetName val="교통대책내역"/>
      <sheetName val="월별일수"/>
      <sheetName val="무형자산명세"/>
      <sheetName val="SAM"/>
      <sheetName val="쌀음료품의서"/>
      <sheetName val="Sheet12"/>
      <sheetName val="Sheet1"/>
      <sheetName val="15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1">
          <cell r="A1" t="str">
            <v>7. 손익계산서 (99년~2000년)</v>
          </cell>
        </row>
        <row r="2">
          <cell r="A2" t="str">
            <v>개발 일정표 (180㎖ 소병 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구       분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  <cell r="P5" t="str">
            <v>10月</v>
          </cell>
          <cell r="Z5" t="str">
            <v>11月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 t="str">
            <v>5일</v>
          </cell>
          <cell r="E6">
            <v>100</v>
          </cell>
          <cell r="F6">
            <v>23813.63636363636</v>
          </cell>
          <cell r="G6">
            <v>100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 t="str">
            <v>10日(개발계획 수립/결재완료)</v>
          </cell>
        </row>
        <row r="9">
          <cell r="A9" t="str">
            <v>1.사업계획</v>
          </cell>
          <cell r="B9">
            <v>10375.092000000001</v>
          </cell>
          <cell r="C9">
            <v>55.739200000000011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 t="str">
            <v>9日(연구소 스팩통보)</v>
          </cell>
          <cell r="G10">
            <v>45.198054590570706</v>
          </cell>
        </row>
        <row r="11">
          <cell r="A11" t="str">
            <v>2.스    팩</v>
          </cell>
          <cell r="B11">
            <v>8128.427272727271</v>
          </cell>
          <cell r="C11">
            <v>43.669206349206348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  <cell r="I12" t="str">
            <v>11日(품목신고완료)</v>
          </cell>
        </row>
        <row r="13">
          <cell r="A13" t="str">
            <v>3.품목신고</v>
          </cell>
          <cell r="B13">
            <v>4467.2727272727261</v>
          </cell>
          <cell r="C13">
            <v>24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>4.원부자재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  <sheetName val="캔개발배경"/>
      <sheetName val="경쟁사가격"/>
      <sheetName val="캔판매목표"/>
      <sheetName val="시장"/>
      <sheetName val="손익"/>
      <sheetName val="일정표"/>
      <sheetName val="E채널"/>
      <sheetName val="전체단가표"/>
      <sheetName val="n賃率-職"/>
      <sheetName val="Graph"/>
      <sheetName val="엔미즈_코리아"/>
      <sheetName val="Sheet2"/>
      <sheetName val="Naver"/>
      <sheetName val="RT.Mon."/>
      <sheetName val="頻道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CodeMaster"/>
      <sheetName val="Facebook業界・業種"/>
      <sheetName val="RFP Worksheet"/>
      <sheetName val="중간감사결과보고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rt BIG AD_9월+10월+11월 큐시트"/>
      <sheetName val="ART_9월+10월+11월 큐시트"/>
      <sheetName val="ARA_큐시트(1개월 기준)"/>
      <sheetName val="ARA_큐시트_상세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월간일정표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2010년 라인업"/>
      <sheetName val="전체단가표"/>
      <sheetName val="2010년_라인업"/>
      <sheetName val="별도가이드"/>
      <sheetName val="엔미즈_코리아"/>
      <sheetName val="합계잔액시산표"/>
      <sheetName val="구분"/>
      <sheetName val="Sheet2"/>
      <sheetName val="Graph"/>
      <sheetName val="SO416"/>
      <sheetName val="양식3"/>
      <sheetName val="Analysis"/>
      <sheetName val="월간"/>
      <sheetName val="전체실적"/>
      <sheetName val="CGV"/>
      <sheetName val="ART_9월+10월+11월 큐시트"/>
      <sheetName val="E채널"/>
      <sheetName val="조정전"/>
      <sheetName val="MediaMix"/>
    </sheetNames>
    <sheetDataSet>
      <sheetData sheetId="0" refreshError="1"/>
      <sheetData sheetId="1" refreshError="1">
        <row r="2">
          <cell r="B2">
            <v>2004</v>
          </cell>
          <cell r="E2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  <sheetName val="#REF"/>
      <sheetName val="재료율"/>
      <sheetName val="HP1AMLIST"/>
      <sheetName val="Macro1"/>
      <sheetName val="계열사현황종합"/>
      <sheetName val="진도현황"/>
      <sheetName val="생산"/>
      <sheetName val="지점장"/>
      <sheetName val="쌀음료품의서"/>
      <sheetName val="양식(직판용)"/>
      <sheetName val="Import"/>
      <sheetName val="pr34"/>
      <sheetName val="대외공문"/>
      <sheetName val="실적"/>
      <sheetName val="품종별월계"/>
      <sheetName val="외주가공비0109"/>
      <sheetName val="회사정보"/>
      <sheetName val="Sheet1"/>
      <sheetName val="시험결과"/>
      <sheetName val="입사자료"/>
      <sheetName val="승진대상자"/>
      <sheetName val="탄산"/>
      <sheetName val="월별일수"/>
      <sheetName val="본문"/>
      <sheetName val="개요"/>
      <sheetName val="마케팅"/>
      <sheetName val="목차"/>
      <sheetName val="추정손익"/>
      <sheetName val="원가"/>
      <sheetName val="원가,목표"/>
      <sheetName val="판매"/>
      <sheetName val="판촉"/>
      <sheetName val="원본"/>
      <sheetName val="96월별PL"/>
      <sheetName val="구분"/>
      <sheetName val="0111"/>
      <sheetName val="추정1안계획1,2,3안"/>
      <sheetName val="BS"/>
      <sheetName val="별도가이드"/>
      <sheetName val="70%"/>
      <sheetName val="환율"/>
      <sheetName val="(실사조정)총괄"/>
      <sheetName val="FRDS9805"/>
      <sheetName val="단가산출"/>
      <sheetName val="갑지"/>
      <sheetName val="집계표"/>
      <sheetName val="단가"/>
      <sheetName val="대총괄표"/>
      <sheetName val="Sheet12"/>
      <sheetName val="데이타"/>
      <sheetName val="1~5월"/>
      <sheetName val="1~9월"/>
      <sheetName val="원가계산서 "/>
      <sheetName val="견적서"/>
      <sheetName val="단가표(2006)"/>
      <sheetName val="표준도급비(2006)"/>
      <sheetName val="work"/>
      <sheetName val="문화센터"/>
      <sheetName val="세금계산서DB"/>
      <sheetName val="주말캐셔 펀칭수"/>
      <sheetName val="AS"/>
      <sheetName val="능력태도평가DB"/>
      <sheetName val="기준9801"/>
      <sheetName val="비교9701"/>
      <sheetName val="DATA(2009판매)"/>
      <sheetName val="부서"/>
      <sheetName val="npv"/>
      <sheetName val="원본가중수1-2"/>
      <sheetName val="970721"/>
      <sheetName val="판매사원 입력2"/>
      <sheetName val="자판"/>
      <sheetName val="위스키3"/>
      <sheetName val="주류전체2"/>
      <sheetName val="당년실적"/>
      <sheetName val="출납장"/>
      <sheetName val="순매출액"/>
      <sheetName val="금관"/>
      <sheetName val="백화"/>
      <sheetName val="data"/>
      <sheetName val="Lists"/>
      <sheetName val="노무비"/>
      <sheetName val="기계경비(시간당)"/>
      <sheetName val="램머"/>
      <sheetName val="축종별판매량"/>
      <sheetName val="대차대조"/>
      <sheetName val="cctv"/>
      <sheetName val="개발실"/>
      <sheetName val=" 작업 공수 산출.xlsx"/>
      <sheetName val="엔미즈_코리아"/>
      <sheetName val="sorting_R&amp;F"/>
      <sheetName val="산출기준(파견전산실)"/>
      <sheetName val="9567매출"/>
      <sheetName val="04부품"/>
      <sheetName val="참고"/>
      <sheetName val="주소"/>
      <sheetName val="FF시장분석 (3)"/>
      <sheetName val="그리들"/>
      <sheetName val="출자한도"/>
      <sheetName val="9월"/>
      <sheetName val="칙촉"/>
      <sheetName val="생산금액_중량"/>
      <sheetName val="98생산중량"/>
      <sheetName val="설계명세서"/>
      <sheetName val="품셈표"/>
      <sheetName val="2010년 Movie DB"/>
      <sheetName val="월간일정표"/>
      <sheetName val="계정"/>
      <sheetName val="ꠀ짜4"/>
      <sheetName val="A7.원가_판가"/>
      <sheetName val="list price"/>
      <sheetName val="basic_info"/>
      <sheetName val="단가및규격"/>
      <sheetName val="사후원가"/>
      <sheetName val="금년실적"/>
      <sheetName val="입력"/>
      <sheetName val="FF시장분석_(3)"/>
      <sheetName val="BM코드"/>
      <sheetName val="카테고리 분류"/>
      <sheetName val="양식3"/>
      <sheetName val="Graph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Sheet2"/>
      <sheetName val="CodeMaster"/>
      <sheetName val="E채널"/>
      <sheetName val="_작업_공수_산출_xlsx"/>
      <sheetName val="판매사원_입력2"/>
      <sheetName val="원가계산서_"/>
      <sheetName val="주말캐셔_펀칭수"/>
      <sheetName val="2010년_Movie_DB"/>
      <sheetName val="A7_원가_판가"/>
      <sheetName val="list_price"/>
      <sheetName val="유통간부"/>
      <sheetName val="8월차잔"/>
      <sheetName val="영업점별목표산출"/>
      <sheetName val="정의"/>
      <sheetName val="금융소득종합과세"/>
      <sheetName val="근로소득세2001"/>
      <sheetName val="CBO"/>
      <sheetName val="서식시트"/>
      <sheetName val="1월"/>
      <sheetName val="지급대장7월"/>
      <sheetName val="24.7월수당 (JADE)"/>
      <sheetName val="급여 인원"/>
      <sheetName val="7월차액"/>
      <sheetName val="경영"/>
      <sheetName val="98년"/>
      <sheetName val="기준"/>
      <sheetName val="☆인센연봉기준(21.11.03자 기준)"/>
      <sheetName val="☆인센티브직급및업적평가기준"/>
      <sheetName val="☆21년 특이사항"/>
      <sheetName val="bloom 2"/>
    </sheetNames>
    <sheetDataSet>
      <sheetData sheetId="0" refreshError="1">
        <row r="2">
          <cell r="C2" t="str">
            <v>쌀 음료 개발 계획 (안)</v>
          </cell>
        </row>
        <row r="3">
          <cell r="C3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8">
          <cell r="B8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1">
          <cell r="E31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3">
          <cell r="A13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3">
          <cell r="A3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  <cell r="AG6">
            <v>0</v>
          </cell>
        </row>
        <row r="7">
          <cell r="AF7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F14" t="str">
            <v>→</v>
          </cell>
          <cell r="G14" t="str">
            <v>→</v>
          </cell>
          <cell r="H14" t="str">
            <v>→</v>
          </cell>
          <cell r="I14" t="str">
            <v>→</v>
          </cell>
          <cell r="J14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2">
          <cell r="T22" t="str">
            <v>→</v>
          </cell>
          <cell r="U22" t="str">
            <v>→</v>
          </cell>
          <cell r="V22" t="str">
            <v>→</v>
          </cell>
          <cell r="W22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개발 일정표 (180㎖ 소병 )</v>
          </cell>
        </row>
      </sheetData>
      <sheetData sheetId="8" refreshError="1"/>
      <sheetData sheetId="9">
        <row r="2">
          <cell r="B2" t="str">
            <v>5-2. 판매목표 (1999.10월 ~ 2000년)</v>
          </cell>
        </row>
      </sheetData>
      <sheetData sheetId="10" refreshError="1"/>
      <sheetData sheetId="11" refreshError="1"/>
      <sheetData sheetId="12" refreshError="1"/>
      <sheetData sheetId="13">
        <row r="1">
          <cell r="A1" t="str">
            <v>7. 손익계산서 (99년~2000년)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요"/>
      <sheetName val="표지"/>
      <sheetName val="전담운영PM"/>
      <sheetName val="장비전산준비"/>
      <sheetName val="도크현황"/>
      <sheetName val="1운영pm(상세)"/>
      <sheetName val="2전산등록업무지침"/>
      <sheetName val="3영업사원준수사항"/>
      <sheetName val="4미배송처리"/>
      <sheetName val="5미회수페널티"/>
      <sheetName val="6반품취소양식"/>
      <sheetName val="7핸디메뉴얼"/>
      <sheetName val="8집배송운행일지"/>
      <sheetName val="9배송실적"/>
      <sheetName val="10반품실적"/>
      <sheetName val="11회수현황"/>
      <sheetName val="12전담마감1"/>
      <sheetName val="VXX"/>
      <sheetName val="캔개발배경"/>
      <sheetName val="시장"/>
      <sheetName val="일정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년 Movie DB"/>
      <sheetName val="2010년 Movie DB"/>
      <sheetName val="캔개발배경"/>
      <sheetName val="시장"/>
      <sheetName val="일정표"/>
      <sheetName val="2011년_Movie_DB"/>
      <sheetName val="2010년_Movie_DB"/>
      <sheetName val="엔미즈_코리아"/>
      <sheetName val="별도가이드"/>
      <sheetName val="2011년_Movie_DB1"/>
      <sheetName val="2010년_Movie_DB1"/>
      <sheetName val="BM코드"/>
      <sheetName val="카테고리 분류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띠배너"/>
      <sheetName val="MAN 전면배너"/>
      <sheetName val="MAN 띠+전면"/>
      <sheetName val="M-play 동영상"/>
      <sheetName val="MAN 엣지팝"/>
      <sheetName val="MAN 전면팝"/>
      <sheetName val="MAN&amp;M-play 대표매체리스트"/>
      <sheetName val="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B15" t="str">
            <v xml:space="preserve">     </v>
          </cell>
        </row>
        <row r="16">
          <cell r="B16" t="str">
            <v>시간</v>
          </cell>
        </row>
        <row r="17">
          <cell r="B17" t="str">
            <v>요일</v>
          </cell>
        </row>
        <row r="18">
          <cell r="B18" t="str">
            <v>iOS</v>
          </cell>
        </row>
        <row r="19">
          <cell r="B19" t="str">
            <v>매체 카테고리</v>
          </cell>
        </row>
        <row r="20">
          <cell r="B20" t="str">
            <v>비디오 카테고리</v>
          </cell>
        </row>
        <row r="21">
          <cell r="B21" t="str">
            <v>통신사</v>
          </cell>
        </row>
        <row r="22">
          <cell r="B22" t="str">
            <v>Freq.</v>
          </cell>
        </row>
        <row r="23">
          <cell r="B23" t="str">
            <v>제조사</v>
          </cell>
        </row>
        <row r="24">
          <cell r="B24" t="str">
            <v>OS 버전</v>
          </cell>
        </row>
        <row r="25">
          <cell r="B25" t="str">
            <v>기기</v>
          </cell>
        </row>
        <row r="26">
          <cell r="B26" t="str">
            <v>관심사</v>
          </cell>
        </row>
        <row r="27">
          <cell r="B27" t="str">
            <v>페이지 리타겟팅</v>
          </cell>
        </row>
        <row r="28">
          <cell r="B28" t="str">
            <v>ADID 타겟팅</v>
          </cell>
        </row>
        <row r="29">
          <cell r="B29" t="str">
            <v>개별 매체 타겟팅</v>
          </cell>
        </row>
        <row r="30">
          <cell r="B30" t="str">
            <v>앱타겟팅</v>
          </cell>
        </row>
        <row r="31">
          <cell r="B31" t="str">
            <v>뉴스/미디어 단일 카테고리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hide"/>
      <sheetName val="2010년_Movie_DB"/>
      <sheetName val="2010년_라인업"/>
      <sheetName val="2010년_주요지면_Imp"/>
      <sheetName val="2010년_주요지면_Click"/>
      <sheetName val="채널"/>
      <sheetName val="2010년_Movie_DB1"/>
      <sheetName val="2010년_라인업1"/>
      <sheetName val="2010년_주요지면_Imp1"/>
      <sheetName val="2010년_주요지면_Click1"/>
      <sheetName val="년별RTMP"/>
      <sheetName val="2010년_Movie_DB2"/>
      <sheetName val="2010년_라인업2"/>
      <sheetName val="2010년_주요지면_Imp2"/>
      <sheetName val="2010년_주요지면_Click2"/>
      <sheetName val="전체단가표"/>
      <sheetName val="2011년 Movie DB"/>
      <sheetName val="Graph"/>
      <sheetName val="진학사매체리스트"/>
      <sheetName val="#REF"/>
      <sheetName val="종합표"/>
      <sheetName val="캠페인_일별리포트"/>
      <sheetName val="이자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홈엔"/>
      <sheetName val="전체단가표"/>
      <sheetName val="가이드모음"/>
      <sheetName val="게재지면캡쳐"/>
      <sheetName val="사용방법"/>
      <sheetName val="하나TPS_6000만원"/>
      <sheetName val="견적서"/>
      <sheetName val="기타"/>
      <sheetName val="용역단가기준"/>
    </sheetNames>
    <sheetDataSet>
      <sheetData sheetId="0" refreshError="1">
        <row r="2">
          <cell r="B2" t="str">
            <v>Media MIX</v>
          </cell>
        </row>
        <row r="4">
          <cell r="B4" t="str">
            <v xml:space="preserve">▣ 광  고  주 </v>
          </cell>
          <cell r="C4" t="str">
            <v>KT 홈엔</v>
          </cell>
        </row>
        <row r="5">
          <cell r="B5" t="str">
            <v>▣ 광고 기간</v>
          </cell>
          <cell r="C5" t="str">
            <v>7월~8월 (2개월)</v>
          </cell>
        </row>
        <row r="6">
          <cell r="B6" t="str">
            <v>▣ 기타사항</v>
          </cell>
          <cell r="C6" t="str">
            <v>10대 및 20~30대</v>
          </cell>
        </row>
        <row r="8">
          <cell r="B8" t="str">
            <v>&lt;제안 내역&gt;</v>
          </cell>
        </row>
        <row r="10">
          <cell r="B10" t="str">
            <v>매체</v>
          </cell>
          <cell r="C10" t="str">
            <v>게재 위치</v>
          </cell>
          <cell r="D10" t="str">
            <v>사이즈</v>
          </cell>
          <cell r="E10" t="str">
            <v>용량</v>
          </cell>
          <cell r="F10" t="str">
            <v>기간</v>
          </cell>
        </row>
        <row r="11">
          <cell r="B11" t="str">
            <v>네이버</v>
          </cell>
          <cell r="C11" t="str">
            <v>탑배너</v>
          </cell>
          <cell r="D11" t="str">
            <v>390*100</v>
          </cell>
          <cell r="E11" t="str">
            <v>130K</v>
          </cell>
          <cell r="F11" t="str">
            <v>7주(월~일)</v>
          </cell>
        </row>
        <row r="12">
          <cell r="C12" t="str">
            <v>뉴스 서브면</v>
          </cell>
          <cell r="D12" t="str">
            <v>240*240</v>
          </cell>
          <cell r="E12" t="str">
            <v>130K</v>
          </cell>
          <cell r="F12" t="str">
            <v>기간내</v>
          </cell>
        </row>
        <row r="13">
          <cell r="C13" t="str">
            <v>뉴스 기사내 배너</v>
          </cell>
          <cell r="D13" t="str">
            <v>240*240</v>
          </cell>
          <cell r="E13" t="str">
            <v>130K</v>
          </cell>
          <cell r="F13" t="str">
            <v>기간내</v>
          </cell>
        </row>
        <row r="14">
          <cell r="C14" t="str">
            <v>지식인 서브면</v>
          </cell>
          <cell r="D14" t="str">
            <v>240*240</v>
          </cell>
          <cell r="E14" t="str">
            <v>130K</v>
          </cell>
          <cell r="F14" t="str">
            <v>기간내</v>
          </cell>
        </row>
        <row r="15">
          <cell r="C15" t="str">
            <v>자료실</v>
          </cell>
          <cell r="D15" t="str">
            <v>350*300</v>
          </cell>
          <cell r="E15" t="str">
            <v>130K</v>
          </cell>
          <cell r="F15" t="str">
            <v>기간내</v>
          </cell>
        </row>
        <row r="16">
          <cell r="C16" t="str">
            <v>빅보드</v>
          </cell>
          <cell r="D16" t="str">
            <v>350*300</v>
          </cell>
          <cell r="E16" t="str">
            <v>130K</v>
          </cell>
          <cell r="F16" t="str">
            <v>기간내</v>
          </cell>
        </row>
        <row r="17">
          <cell r="B17" t="str">
            <v>총 합 계</v>
          </cell>
        </row>
        <row r="20">
          <cell r="B20" t="str">
            <v>※ 배너는 반드시 NHN 광고가이드 http://ad.nhncorp.com/guidelines_02_01.html 에 따라 제작하셔야 합니다.</v>
          </cell>
        </row>
        <row r="21">
          <cell r="B21" t="str">
            <v>※ 집행전 반드시 타겟대상 인벤토리를 재 확인하시기 바랍니다.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2">
          <cell r="A2">
            <v>1</v>
          </cell>
        </row>
      </sheetData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최종리포트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390*100394*310</v>
          </cell>
          <cell r="D11" t="str">
            <v>130K2M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총관리비"/>
      <sheetName val="년별RTMP"/>
      <sheetName val="주간시청률추이"/>
      <sheetName val="9GNG운반"/>
      <sheetName val="Plan"/>
      <sheetName val="유가증권미수"/>
      <sheetName val="7월 (시급반영)"/>
      <sheetName val="4월"/>
      <sheetName val="생산"/>
      <sheetName val="진도현황"/>
      <sheetName val="보증금(전신전화가입권)"/>
      <sheetName val="Sheet1"/>
      <sheetName val="지점장"/>
      <sheetName val="Customer Databas"/>
      <sheetName val="4월 (수정)"/>
      <sheetName val="5월 시급 반영"/>
      <sheetName val="5월 편성안"/>
      <sheetName val="Sheet3"/>
      <sheetName val="전담운영PM"/>
      <sheetName val="캔개발배경"/>
      <sheetName val="시장"/>
      <sheetName val="일정표"/>
      <sheetName val="Import"/>
      <sheetName val="미지급이자(분쟁대상)"/>
      <sheetName val="1월"/>
      <sheetName val="운행일지"/>
      <sheetName val="운행안(이채널)"/>
      <sheetName val="Gen Assumptions"/>
      <sheetName val="지방"/>
      <sheetName val="Data"/>
      <sheetName val="E채널"/>
      <sheetName val="CHECK"/>
      <sheetName val="Analysis"/>
      <sheetName val="2010년 Movie DB"/>
      <sheetName val="전체단가표"/>
      <sheetName val="***********************00"/>
      <sheetName val="품종별월계"/>
      <sheetName val="1~5월"/>
      <sheetName val="1~9월"/>
      <sheetName val="특정대금지급(수시지급포함)"/>
      <sheetName val="특정total(수불0)"/>
      <sheetName val="대차대조표"/>
      <sheetName val="Customer_Databas"/>
      <sheetName val="7월_(시급반영)"/>
      <sheetName val="4월_(수정)"/>
      <sheetName val="5월_시급_반영"/>
      <sheetName val="5월_편성안"/>
      <sheetName val="Gen_Assumptions"/>
      <sheetName val="2010년_Movie_DB"/>
      <sheetName val="Customer_Databas1"/>
      <sheetName val="7월_(시급반영)1"/>
      <sheetName val="4월_(수정)1"/>
      <sheetName val="5월_시급_반영1"/>
      <sheetName val="5월_편성안1"/>
      <sheetName val="Gen_Assumptions1"/>
      <sheetName val="2010년_Movie_DB1"/>
      <sheetName val="관리일지"/>
      <sheetName val="엔미즈_코리아"/>
      <sheetName val="bulk_data"/>
      <sheetName val="7월_(시급반영)2"/>
      <sheetName val="4월_(수정)2"/>
      <sheetName val="5월_시급_반영2"/>
      <sheetName val="5월_편성안2"/>
      <sheetName val="Customer_Databas2"/>
      <sheetName val="Gen_Assumptions2"/>
      <sheetName val="2010년_Movie_DB2"/>
      <sheetName val="주간회의"/>
      <sheetName val="단계별"/>
      <sheetName val="유투버"/>
      <sheetName val="컨텐츠"/>
      <sheetName val="티징"/>
      <sheetName val="SNS"/>
      <sheetName val="2010년_Movie_DB3"/>
      <sheetName val="7월_(시급반영)3"/>
      <sheetName val="Customer_Databas3"/>
      <sheetName val="4월_(수정)3"/>
      <sheetName val="5월_시급_반영3"/>
      <sheetName val="5월_편성안3"/>
      <sheetName val="Gen_Assumptions3"/>
      <sheetName val="기본"/>
      <sheetName val="IC단가(97)"/>
      <sheetName val="형틀공사"/>
      <sheetName val="달성율"/>
      <sheetName val="평가누계"/>
      <sheetName val="1팀원료재고 "/>
      <sheetName val="1팀재료재고 "/>
      <sheetName val="2팀원료재고"/>
      <sheetName val="2팀재료재고"/>
      <sheetName val="재고표"/>
      <sheetName val="재고표 (2)"/>
      <sheetName val="재료재고 "/>
      <sheetName val="재료발주"/>
      <sheetName val="원료재고"/>
      <sheetName val="원료발주"/>
      <sheetName val="재료재고"/>
      <sheetName val="원료재고조사표"/>
      <sheetName val="재료재고조사표"/>
      <sheetName val="하조.기타재고"/>
      <sheetName val="재공품"/>
      <sheetName val="불출서"/>
      <sheetName val="1팀원료재고조사표(창고)"/>
      <sheetName val="1팀재료재고조사표(창고)"/>
      <sheetName val="1팀하조재고조사표(하조)"/>
      <sheetName val="사업자등록증"/>
      <sheetName val="8월"/>
      <sheetName val="1팀원료재고_"/>
      <sheetName val="1팀재료재고_"/>
      <sheetName val="재고표_(2)"/>
      <sheetName val="재료재고_"/>
      <sheetName val="하조_기타재고"/>
      <sheetName val="판매%&gt;반품%"/>
      <sheetName val="판매%&gt;판취%"/>
      <sheetName val="계획표지"/>
      <sheetName val="상반기투자실적"/>
      <sheetName val="전체계"/>
      <sheetName val="당월금액"/>
      <sheetName val="06실적"/>
      <sheetName val="1팀원료재고_1"/>
      <sheetName val="1팀재료재고_1"/>
      <sheetName val="재고표_(2)1"/>
      <sheetName val="재료재고_1"/>
      <sheetName val="하조_기타재고1"/>
      <sheetName val="#REF"/>
      <sheetName val="회사정보"/>
      <sheetName val="(1)2002년 매출목표 산출"/>
      <sheetName val="합실,계(수용,지입)"/>
      <sheetName val="금액집계(리포트)"/>
      <sheetName val="74-75.인력운영계획"/>
      <sheetName val="97년"/>
      <sheetName val="원본"/>
      <sheetName val="hide"/>
      <sheetName val="홈엔"/>
      <sheetName val="①매출"/>
      <sheetName val="3-4현"/>
      <sheetName val="3-3현"/>
      <sheetName val="44"/>
      <sheetName val="Graph"/>
      <sheetName val="2011년 Movie DB"/>
      <sheetName val="DB"/>
      <sheetName val="7월_(시급반영)4"/>
      <sheetName val="4월_(수정)4"/>
      <sheetName val="5월_시급_반영4"/>
      <sheetName val="5월_편성안4"/>
      <sheetName val="Customer_Databas4"/>
      <sheetName val="Gen_Assumptions4"/>
      <sheetName val="2010년_Movie_DB4"/>
      <sheetName val="1팀원료재고_2"/>
      <sheetName val="1팀재료재고_2"/>
      <sheetName val="재고표_(2)2"/>
      <sheetName val="재료재고_2"/>
      <sheetName val="하조_기타재고2"/>
      <sheetName val="(1)2002년_매출목표_산출"/>
      <sheetName val="74-75_인력운영계획"/>
    </sheetNames>
    <sheetDataSet>
      <sheetData sheetId="0" refreshError="1">
        <row r="4">
          <cell r="I4" t="str">
            <v>A000</v>
          </cell>
          <cell r="J4" t="str">
            <v>대표이사실</v>
          </cell>
          <cell r="K4" t="str">
            <v>H</v>
          </cell>
        </row>
        <row r="5">
          <cell r="I5" t="str">
            <v>A010</v>
          </cell>
          <cell r="J5" t="str">
            <v>감사실</v>
          </cell>
          <cell r="K5" t="str">
            <v>H</v>
          </cell>
        </row>
        <row r="6">
          <cell r="I6" t="str">
            <v>A015</v>
          </cell>
          <cell r="J6" t="str">
            <v>임원실</v>
          </cell>
          <cell r="K6" t="str">
            <v>H</v>
          </cell>
        </row>
        <row r="7">
          <cell r="I7" t="str">
            <v>A020</v>
          </cell>
          <cell r="J7" t="str">
            <v>기획조정팀</v>
          </cell>
          <cell r="K7" t="str">
            <v>H</v>
          </cell>
        </row>
        <row r="8">
          <cell r="I8" t="str">
            <v>A021</v>
          </cell>
          <cell r="J8" t="str">
            <v>경영개선팀</v>
          </cell>
          <cell r="K8" t="str">
            <v>H</v>
          </cell>
        </row>
        <row r="9">
          <cell r="I9" t="str">
            <v>A026</v>
          </cell>
          <cell r="J9" t="str">
            <v>법제팀</v>
          </cell>
          <cell r="K9" t="str">
            <v>H</v>
          </cell>
        </row>
        <row r="10">
          <cell r="I10" t="str">
            <v>A030</v>
          </cell>
          <cell r="J10" t="str">
            <v>시스템개발팀</v>
          </cell>
          <cell r="K10" t="str">
            <v>H</v>
          </cell>
        </row>
        <row r="11">
          <cell r="I11" t="str">
            <v>A040</v>
          </cell>
          <cell r="J11" t="str">
            <v>기술연구소</v>
          </cell>
          <cell r="K11" t="str">
            <v>H</v>
          </cell>
        </row>
        <row r="12">
          <cell r="I12" t="str">
            <v>A041</v>
          </cell>
          <cell r="J12" t="str">
            <v>주택품질팀</v>
          </cell>
          <cell r="K12" t="str">
            <v>JD</v>
          </cell>
        </row>
        <row r="13">
          <cell r="I13" t="str">
            <v>A042</v>
          </cell>
          <cell r="J13" t="str">
            <v>일산A/S</v>
          </cell>
          <cell r="K13" t="str">
            <v>JD</v>
          </cell>
        </row>
        <row r="14">
          <cell r="I14" t="str">
            <v>A045</v>
          </cell>
          <cell r="J14" t="str">
            <v>시험실</v>
          </cell>
          <cell r="K14" t="str">
            <v>H</v>
          </cell>
        </row>
        <row r="15">
          <cell r="I15" t="str">
            <v>A050</v>
          </cell>
          <cell r="J15" t="str">
            <v>인력개발팀</v>
          </cell>
          <cell r="K15" t="str">
            <v>H</v>
          </cell>
        </row>
        <row r="16">
          <cell r="I16" t="str">
            <v>A051</v>
          </cell>
          <cell r="J16" t="str">
            <v>기술관리팀</v>
          </cell>
          <cell r="K16" t="str">
            <v>H</v>
          </cell>
        </row>
        <row r="17">
          <cell r="I17" t="str">
            <v>A060</v>
          </cell>
          <cell r="J17" t="str">
            <v>비상계획팀</v>
          </cell>
          <cell r="K17" t="str">
            <v>H</v>
          </cell>
        </row>
        <row r="18">
          <cell r="I18" t="str">
            <v>A070</v>
          </cell>
          <cell r="J18" t="str">
            <v>자금팀</v>
          </cell>
          <cell r="K18" t="str">
            <v>H</v>
          </cell>
        </row>
        <row r="19">
          <cell r="I19" t="str">
            <v>A080</v>
          </cell>
          <cell r="J19" t="str">
            <v>회계팀</v>
          </cell>
          <cell r="K19" t="str">
            <v>H</v>
          </cell>
        </row>
        <row r="20">
          <cell r="I20" t="str">
            <v>A090</v>
          </cell>
          <cell r="J20" t="str">
            <v>자재팀</v>
          </cell>
          <cell r="K20" t="str">
            <v>H</v>
          </cell>
        </row>
        <row r="21">
          <cell r="I21" t="str">
            <v>A100</v>
          </cell>
          <cell r="J21" t="str">
            <v>외주육성팀</v>
          </cell>
          <cell r="K21" t="str">
            <v>H</v>
          </cell>
        </row>
        <row r="22">
          <cell r="I22" t="str">
            <v>A105</v>
          </cell>
          <cell r="J22" t="str">
            <v>안전환경팀</v>
          </cell>
          <cell r="K22" t="str">
            <v>H</v>
          </cell>
        </row>
        <row r="23">
          <cell r="I23" t="str">
            <v>A110</v>
          </cell>
          <cell r="J23" t="str">
            <v>업무추진팀</v>
          </cell>
          <cell r="K23" t="str">
            <v>TI</v>
          </cell>
        </row>
        <row r="24">
          <cell r="I24" t="str">
            <v>A115</v>
          </cell>
          <cell r="J24" t="str">
            <v>부산지사</v>
          </cell>
          <cell r="K24" t="str">
            <v>H</v>
          </cell>
        </row>
        <row r="25">
          <cell r="I25" t="str">
            <v>A130</v>
          </cell>
          <cell r="J25" t="str">
            <v>해외사업팀</v>
          </cell>
          <cell r="K25" t="str">
            <v>FD</v>
          </cell>
        </row>
        <row r="26">
          <cell r="I26" t="str">
            <v>A131</v>
          </cell>
          <cell r="J26" t="str">
            <v>호치민사무소</v>
          </cell>
          <cell r="K26" t="str">
            <v>FD</v>
          </cell>
        </row>
        <row r="27">
          <cell r="I27" t="str">
            <v>A150</v>
          </cell>
          <cell r="J27" t="str">
            <v>영업개발팀</v>
          </cell>
          <cell r="K27" t="str">
            <v>GI</v>
          </cell>
        </row>
        <row r="28">
          <cell r="I28" t="str">
            <v>A151</v>
          </cell>
          <cell r="J28" t="str">
            <v>전주지사</v>
          </cell>
          <cell r="K28" t="str">
            <v>H</v>
          </cell>
        </row>
        <row r="29">
          <cell r="I29" t="str">
            <v>A155</v>
          </cell>
          <cell r="J29" t="str">
            <v>S O C 팀</v>
          </cell>
          <cell r="K29" t="str">
            <v>TD</v>
          </cell>
        </row>
        <row r="30">
          <cell r="I30" t="str">
            <v>A160</v>
          </cell>
          <cell r="J30" t="str">
            <v>주택사업1팀</v>
          </cell>
          <cell r="K30" t="str">
            <v>JD</v>
          </cell>
        </row>
        <row r="31">
          <cell r="I31" t="str">
            <v>A161</v>
          </cell>
          <cell r="J31" t="str">
            <v>주택사업2팀</v>
          </cell>
          <cell r="K31" t="str">
            <v>JD</v>
          </cell>
        </row>
        <row r="32">
          <cell r="I32" t="str">
            <v>A166</v>
          </cell>
          <cell r="J32" t="str">
            <v>용지개발팀</v>
          </cell>
          <cell r="K32" t="str">
            <v>JD</v>
          </cell>
        </row>
        <row r="33">
          <cell r="I33" t="str">
            <v>A175</v>
          </cell>
          <cell r="J33" t="str">
            <v>주택공사팀</v>
          </cell>
          <cell r="K33" t="str">
            <v>JD</v>
          </cell>
        </row>
        <row r="34">
          <cell r="I34" t="str">
            <v>A176</v>
          </cell>
          <cell r="J34" t="str">
            <v>주택기술팀</v>
          </cell>
          <cell r="K34" t="str">
            <v>JD</v>
          </cell>
        </row>
        <row r="35">
          <cell r="I35" t="str">
            <v>A177</v>
          </cell>
          <cell r="J35" t="str">
            <v>주택마케팅팀</v>
          </cell>
          <cell r="K35" t="str">
            <v>JD</v>
          </cell>
        </row>
        <row r="36">
          <cell r="I36" t="str">
            <v>A191</v>
          </cell>
          <cell r="J36" t="str">
            <v>주택M/H</v>
          </cell>
          <cell r="K36" t="str">
            <v>JD</v>
          </cell>
        </row>
        <row r="37">
          <cell r="I37" t="str">
            <v>AG816-0190</v>
          </cell>
          <cell r="J37" t="str">
            <v>전주평화동 분양</v>
          </cell>
          <cell r="K37" t="str">
            <v>JD</v>
          </cell>
        </row>
        <row r="38">
          <cell r="I38" t="str">
            <v>AG821-0191</v>
          </cell>
          <cell r="J38" t="str">
            <v>군산산북동 분양</v>
          </cell>
          <cell r="K38" t="str">
            <v>JD</v>
          </cell>
        </row>
        <row r="39">
          <cell r="I39" t="str">
            <v>AG822-0191</v>
          </cell>
          <cell r="J39" t="str">
            <v>대전정림동 분양</v>
          </cell>
          <cell r="K39" t="str">
            <v>JD</v>
          </cell>
        </row>
        <row r="40">
          <cell r="I40" t="str">
            <v>AG823-0191</v>
          </cell>
          <cell r="J40" t="str">
            <v>중산1차 분양</v>
          </cell>
          <cell r="K40" t="str">
            <v>JD</v>
          </cell>
        </row>
        <row r="41">
          <cell r="I41" t="str">
            <v>AG824-0191</v>
          </cell>
          <cell r="J41" t="str">
            <v>둔산2차 분양</v>
          </cell>
          <cell r="K41" t="str">
            <v>JD</v>
          </cell>
        </row>
        <row r="42">
          <cell r="I42" t="str">
            <v>AG825-0192</v>
          </cell>
          <cell r="J42" t="str">
            <v>고양화정 분양</v>
          </cell>
          <cell r="K42" t="str">
            <v>JD</v>
          </cell>
        </row>
        <row r="43">
          <cell r="I43" t="str">
            <v>AG826-0192</v>
          </cell>
          <cell r="J43" t="str">
            <v>부산해운대 분양</v>
          </cell>
          <cell r="K43" t="str">
            <v>JD</v>
          </cell>
        </row>
        <row r="44">
          <cell r="I44" t="str">
            <v>AG827-0192</v>
          </cell>
          <cell r="J44" t="str">
            <v>일산2차 분양</v>
          </cell>
          <cell r="K44" t="str">
            <v>JD</v>
          </cell>
        </row>
        <row r="45">
          <cell r="I45" t="str">
            <v>AG828-0192</v>
          </cell>
          <cell r="J45" t="str">
            <v>의왕고천 분양</v>
          </cell>
          <cell r="K45" t="str">
            <v>JD</v>
          </cell>
        </row>
        <row r="46">
          <cell r="I46" t="str">
            <v>AG829-0192</v>
          </cell>
          <cell r="J46" t="str">
            <v>일산3차 분양</v>
          </cell>
          <cell r="K46" t="str">
            <v>JD</v>
          </cell>
        </row>
        <row r="47">
          <cell r="I47" t="str">
            <v>AG831-0193</v>
          </cell>
          <cell r="J47" t="str">
            <v>중산2차 분양</v>
          </cell>
          <cell r="K47" t="str">
            <v>JD</v>
          </cell>
        </row>
        <row r="48">
          <cell r="I48" t="str">
            <v>AG833-0193</v>
          </cell>
          <cell r="J48" t="str">
            <v>충주금릉 분양</v>
          </cell>
          <cell r="K48" t="str">
            <v>JD</v>
          </cell>
        </row>
        <row r="49">
          <cell r="I49" t="str">
            <v>AG834-0193</v>
          </cell>
          <cell r="J49" t="str">
            <v>부산화명 분양</v>
          </cell>
          <cell r="K49" t="str">
            <v>JD</v>
          </cell>
        </row>
        <row r="50">
          <cell r="I50" t="str">
            <v>AG835-0193</v>
          </cell>
          <cell r="J50" t="str">
            <v>분당연립 분양</v>
          </cell>
          <cell r="K50" t="str">
            <v>JD</v>
          </cell>
        </row>
        <row r="51">
          <cell r="I51" t="str">
            <v>AG836-0193</v>
          </cell>
          <cell r="J51" t="str">
            <v>고양능곡 분양</v>
          </cell>
          <cell r="K51" t="str">
            <v>JD</v>
          </cell>
        </row>
        <row r="52">
          <cell r="I52" t="str">
            <v>AG838-0193</v>
          </cell>
          <cell r="J52" t="str">
            <v>부산엄궁 분양</v>
          </cell>
          <cell r="K52" t="str">
            <v>JD</v>
          </cell>
        </row>
        <row r="53">
          <cell r="I53" t="str">
            <v>AG839-0195</v>
          </cell>
          <cell r="J53" t="str">
            <v>대구대명 분양</v>
          </cell>
          <cell r="K53" t="str">
            <v>JD</v>
          </cell>
        </row>
        <row r="54">
          <cell r="I54" t="str">
            <v>AG840-0195</v>
          </cell>
          <cell r="J54" t="str">
            <v>하계연립 분양</v>
          </cell>
          <cell r="K54" t="str">
            <v>JD</v>
          </cell>
        </row>
        <row r="55">
          <cell r="I55" t="str">
            <v>AG841-0195</v>
          </cell>
          <cell r="J55" t="str">
            <v>대림동 분양</v>
          </cell>
          <cell r="K55" t="str">
            <v>JD</v>
          </cell>
        </row>
        <row r="56">
          <cell r="I56" t="str">
            <v>AG841-0196</v>
          </cell>
          <cell r="J56" t="str">
            <v>수원정자 분양</v>
          </cell>
          <cell r="K56" t="str">
            <v>JD</v>
          </cell>
        </row>
        <row r="57">
          <cell r="I57" t="str">
            <v>AG842-0195</v>
          </cell>
          <cell r="J57" t="str">
            <v>남양주덕소 분양</v>
          </cell>
          <cell r="K57" t="str">
            <v>JD</v>
          </cell>
        </row>
        <row r="58">
          <cell r="I58" t="str">
            <v>AG845-0194</v>
          </cell>
          <cell r="J58" t="str">
            <v>상계동 분양</v>
          </cell>
          <cell r="K58" t="str">
            <v>JD</v>
          </cell>
        </row>
        <row r="59">
          <cell r="I59" t="str">
            <v>AG848-0196</v>
          </cell>
          <cell r="J59" t="str">
            <v>안중현화 분양</v>
          </cell>
          <cell r="K59" t="str">
            <v>JD</v>
          </cell>
        </row>
        <row r="60">
          <cell r="I60" t="str">
            <v>AG853*0197</v>
          </cell>
          <cell r="J60" t="str">
            <v>기흥구갈 분양</v>
          </cell>
          <cell r="K60" t="str">
            <v>JD</v>
          </cell>
        </row>
        <row r="61">
          <cell r="I61" t="str">
            <v>AG853-0196</v>
          </cell>
          <cell r="J61" t="str">
            <v>원주단관 분양</v>
          </cell>
          <cell r="K61" t="str">
            <v>JD</v>
          </cell>
        </row>
        <row r="62">
          <cell r="I62" t="str">
            <v>AG854*0197</v>
          </cell>
          <cell r="J62" t="str">
            <v>자체A 분양</v>
          </cell>
          <cell r="K62" t="str">
            <v>JD</v>
          </cell>
        </row>
        <row r="63">
          <cell r="I63" t="str">
            <v>AG891-0190</v>
          </cell>
          <cell r="J63" t="str">
            <v>춘천퇴계 분양</v>
          </cell>
          <cell r="K63" t="str">
            <v>JD</v>
          </cell>
        </row>
        <row r="64">
          <cell r="I64" t="str">
            <v>B019</v>
          </cell>
          <cell r="J64" t="str">
            <v>철구건재(건)</v>
          </cell>
          <cell r="K64" t="str">
            <v>GI</v>
          </cell>
        </row>
        <row r="65">
          <cell r="I65" t="str">
            <v>B020</v>
          </cell>
          <cell r="J65" t="str">
            <v>철구건재(철)</v>
          </cell>
          <cell r="K65" t="str">
            <v>GI</v>
          </cell>
        </row>
        <row r="66">
          <cell r="I66" t="str">
            <v>B022</v>
          </cell>
          <cell r="J66" t="str">
            <v>용인자재창고</v>
          </cell>
          <cell r="K66" t="str">
            <v>H</v>
          </cell>
        </row>
        <row r="67">
          <cell r="I67" t="str">
            <v>B030</v>
          </cell>
          <cell r="J67" t="str">
            <v>토목공사팀</v>
          </cell>
          <cell r="K67" t="str">
            <v>TD</v>
          </cell>
        </row>
        <row r="68">
          <cell r="I68" t="str">
            <v>B035</v>
          </cell>
          <cell r="J68" t="str">
            <v>토목견적팀</v>
          </cell>
          <cell r="K68" t="str">
            <v>TI</v>
          </cell>
        </row>
        <row r="69">
          <cell r="I69" t="str">
            <v>B039</v>
          </cell>
          <cell r="J69" t="str">
            <v>동해리조트추진본부</v>
          </cell>
          <cell r="K69" t="str">
            <v>H</v>
          </cell>
        </row>
        <row r="70">
          <cell r="I70" t="str">
            <v>B040</v>
          </cell>
          <cell r="J70" t="str">
            <v>건축공사팀</v>
          </cell>
          <cell r="K70" t="str">
            <v>GD</v>
          </cell>
        </row>
        <row r="71">
          <cell r="I71" t="str">
            <v>B050</v>
          </cell>
          <cell r="J71" t="str">
            <v>기전팀</v>
          </cell>
          <cell r="K71" t="str">
            <v>GI</v>
          </cell>
        </row>
        <row r="72">
          <cell r="I72" t="str">
            <v>B060</v>
          </cell>
          <cell r="J72" t="str">
            <v>구조설계팀</v>
          </cell>
          <cell r="K72" t="str">
            <v>TI</v>
          </cell>
        </row>
        <row r="73">
          <cell r="I73" t="str">
            <v>B070</v>
          </cell>
          <cell r="J73" t="str">
            <v>토질설계팀</v>
          </cell>
          <cell r="K73" t="str">
            <v>TI</v>
          </cell>
        </row>
        <row r="74">
          <cell r="I74" t="str">
            <v>B080</v>
          </cell>
          <cell r="J74" t="str">
            <v>용역개발팀</v>
          </cell>
          <cell r="K74" t="str">
            <v>Y</v>
          </cell>
        </row>
        <row r="75">
          <cell r="I75" t="str">
            <v>B085</v>
          </cell>
          <cell r="J75" t="str">
            <v>지하공간개발팀</v>
          </cell>
          <cell r="K75" t="str">
            <v>TI</v>
          </cell>
        </row>
        <row r="76">
          <cell r="I76" t="str">
            <v>B150</v>
          </cell>
          <cell r="J76" t="str">
            <v>플랜트사업1팀</v>
          </cell>
          <cell r="K76" t="str">
            <v>PD</v>
          </cell>
        </row>
        <row r="77">
          <cell r="I77" t="str">
            <v>B160</v>
          </cell>
          <cell r="J77" t="str">
            <v>건축견적팀</v>
          </cell>
          <cell r="K77" t="str">
            <v>GI</v>
          </cell>
        </row>
        <row r="78">
          <cell r="I78" t="str">
            <v>B165</v>
          </cell>
          <cell r="J78" t="str">
            <v>주택설계팀</v>
          </cell>
          <cell r="K78" t="str">
            <v>JD</v>
          </cell>
        </row>
        <row r="79">
          <cell r="I79" t="str">
            <v>C000</v>
          </cell>
          <cell r="J79" t="str">
            <v>부회장</v>
          </cell>
          <cell r="K79" t="str">
            <v>H</v>
          </cell>
        </row>
        <row r="80">
          <cell r="I80" t="str">
            <v>C001</v>
          </cell>
          <cell r="J80" t="str">
            <v>사장</v>
          </cell>
          <cell r="K80" t="str">
            <v>H</v>
          </cell>
        </row>
        <row r="81">
          <cell r="I81" t="str">
            <v>C002</v>
          </cell>
          <cell r="J81" t="str">
            <v>민부사장</v>
          </cell>
          <cell r="K81" t="str">
            <v>H</v>
          </cell>
        </row>
        <row r="82">
          <cell r="I82" t="str">
            <v>C003</v>
          </cell>
          <cell r="J82" t="str">
            <v>최부사장</v>
          </cell>
          <cell r="K82" t="str">
            <v>H</v>
          </cell>
        </row>
        <row r="83">
          <cell r="I83" t="str">
            <v>C022</v>
          </cell>
          <cell r="J83" t="str">
            <v>토목본부장</v>
          </cell>
          <cell r="K83" t="str">
            <v>TI</v>
          </cell>
        </row>
        <row r="84">
          <cell r="I84" t="str">
            <v>C024</v>
          </cell>
          <cell r="J84" t="str">
            <v>토목담당</v>
          </cell>
          <cell r="K84" t="str">
            <v>TI</v>
          </cell>
        </row>
        <row r="85">
          <cell r="I85" t="str">
            <v>C025</v>
          </cell>
          <cell r="J85" t="str">
            <v>토목담당</v>
          </cell>
          <cell r="K85" t="str">
            <v>TI</v>
          </cell>
        </row>
        <row r="86">
          <cell r="I86" t="str">
            <v>C031</v>
          </cell>
          <cell r="J86" t="str">
            <v>건축본부장</v>
          </cell>
          <cell r="K86" t="str">
            <v>GI</v>
          </cell>
        </row>
        <row r="87">
          <cell r="I87" t="str">
            <v>C032</v>
          </cell>
          <cell r="J87" t="str">
            <v>주택본부장</v>
          </cell>
          <cell r="K87" t="str">
            <v>JI</v>
          </cell>
        </row>
        <row r="88">
          <cell r="I88" t="str">
            <v>C034</v>
          </cell>
          <cell r="J88" t="str">
            <v>건축영업</v>
          </cell>
          <cell r="K88" t="str">
            <v>GI</v>
          </cell>
        </row>
        <row r="89">
          <cell r="I89" t="str">
            <v>C035</v>
          </cell>
          <cell r="J89" t="str">
            <v>건축공사</v>
          </cell>
          <cell r="K89" t="str">
            <v>GI</v>
          </cell>
        </row>
        <row r="90">
          <cell r="I90" t="str">
            <v>C036</v>
          </cell>
          <cell r="J90" t="str">
            <v>주택사업</v>
          </cell>
          <cell r="K90" t="str">
            <v>JI</v>
          </cell>
        </row>
        <row r="91">
          <cell r="I91" t="str">
            <v>C040</v>
          </cell>
          <cell r="J91" t="str">
            <v>주택공사</v>
          </cell>
          <cell r="K91" t="str">
            <v>JI</v>
          </cell>
        </row>
        <row r="92">
          <cell r="I92" t="str">
            <v>C060</v>
          </cell>
          <cell r="J92" t="str">
            <v>ENG본부장</v>
          </cell>
          <cell r="K92" t="str">
            <v>Y</v>
          </cell>
        </row>
        <row r="93">
          <cell r="I93" t="str">
            <v>C070</v>
          </cell>
          <cell r="J93" t="str">
            <v>업무담당</v>
          </cell>
          <cell r="K93" t="str">
            <v>TI</v>
          </cell>
        </row>
        <row r="94">
          <cell r="I94" t="str">
            <v>C093</v>
          </cell>
          <cell r="J94" t="str">
            <v>해외본부장</v>
          </cell>
          <cell r="K94" t="str">
            <v>FI</v>
          </cell>
        </row>
        <row r="95">
          <cell r="I95" t="str">
            <v>C121</v>
          </cell>
          <cell r="J95" t="str">
            <v>기획담당</v>
          </cell>
          <cell r="K95" t="str">
            <v>H</v>
          </cell>
        </row>
        <row r="96">
          <cell r="I96" t="str">
            <v>C122</v>
          </cell>
          <cell r="J96" t="str">
            <v>지원담당</v>
          </cell>
          <cell r="K96" t="str">
            <v>H</v>
          </cell>
        </row>
        <row r="97">
          <cell r="I97" t="str">
            <v>CG830-0193</v>
          </cell>
          <cell r="J97" t="str">
            <v>삼선재건축 분양</v>
          </cell>
          <cell r="K97" t="str">
            <v>JD</v>
          </cell>
        </row>
        <row r="98">
          <cell r="I98" t="str">
            <v>CG831-0193</v>
          </cell>
          <cell r="J98" t="str">
            <v>석관동재건축 분양</v>
          </cell>
          <cell r="K98" t="str">
            <v>JD</v>
          </cell>
        </row>
        <row r="99">
          <cell r="I99" t="str">
            <v>CG841-0193</v>
          </cell>
          <cell r="J99" t="str">
            <v>이촌동B재건축 분양</v>
          </cell>
          <cell r="K99" t="str">
            <v>JD</v>
          </cell>
        </row>
        <row r="100">
          <cell r="I100" t="str">
            <v>CG843-0194</v>
          </cell>
          <cell r="J100" t="str">
            <v>성내동재건축 분양</v>
          </cell>
          <cell r="K100" t="str">
            <v>JD</v>
          </cell>
        </row>
        <row r="101">
          <cell r="I101" t="str">
            <v>CG849-0195</v>
          </cell>
          <cell r="J101" t="str">
            <v>부산왕자재건축 분양</v>
          </cell>
          <cell r="K101" t="str">
            <v>JD</v>
          </cell>
        </row>
        <row r="102">
          <cell r="I102" t="str">
            <v>CG850-0195</v>
          </cell>
          <cell r="J102" t="str">
            <v>잠실시영재건축 분양</v>
          </cell>
          <cell r="K102" t="str">
            <v>JD</v>
          </cell>
        </row>
        <row r="103">
          <cell r="I103" t="str">
            <v>CG851-0195</v>
          </cell>
          <cell r="J103" t="str">
            <v>서빙고재건축 분양</v>
          </cell>
          <cell r="K103" t="str">
            <v>JD</v>
          </cell>
        </row>
        <row r="104">
          <cell r="I104" t="str">
            <v>CG853-0195</v>
          </cell>
          <cell r="J104" t="str">
            <v>해운대재건축 분양</v>
          </cell>
          <cell r="K104" t="str">
            <v>JD</v>
          </cell>
        </row>
        <row r="105">
          <cell r="I105" t="str">
            <v>CG854-0196</v>
          </cell>
          <cell r="J105" t="str">
            <v>수원구운동재건축 분양</v>
          </cell>
          <cell r="K105" t="str">
            <v>JD</v>
          </cell>
        </row>
        <row r="106">
          <cell r="I106" t="str">
            <v>CG855-0196</v>
          </cell>
          <cell r="J106" t="str">
            <v>등촌제일재건축 분양</v>
          </cell>
          <cell r="K106" t="str">
            <v>JD</v>
          </cell>
        </row>
        <row r="107">
          <cell r="I107" t="str">
            <v>CG856-0196</v>
          </cell>
          <cell r="J107" t="str">
            <v>연세빌라재건축 분양</v>
          </cell>
          <cell r="K107" t="str">
            <v>JD</v>
          </cell>
        </row>
        <row r="108">
          <cell r="I108" t="str">
            <v>CG857*0196</v>
          </cell>
          <cell r="J108" t="str">
            <v>김포고천재건축 분양</v>
          </cell>
          <cell r="K108" t="str">
            <v>JD</v>
          </cell>
        </row>
        <row r="109">
          <cell r="I109" t="str">
            <v>CG858*0197</v>
          </cell>
          <cell r="J109" t="str">
            <v>재건축A 분양</v>
          </cell>
          <cell r="K109" t="str">
            <v>JD</v>
          </cell>
        </row>
        <row r="110">
          <cell r="I110" t="str">
            <v>CG859*0197</v>
          </cell>
          <cell r="J110" t="str">
            <v>재건축B 분양</v>
          </cell>
          <cell r="K110" t="str">
            <v>JD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  <sheetName val="Import"/>
      <sheetName val="코드"/>
      <sheetName val="내용"/>
      <sheetName val="비품0301"/>
      <sheetName val="신비품0301"/>
      <sheetName val="2011년 Movie DB"/>
      <sheetName val="hide"/>
      <sheetName val="목_차"/>
      <sheetName val="목_차1"/>
      <sheetName val="2011년_Movie_DB"/>
      <sheetName val="아침햇쌀"/>
      <sheetName val="시장"/>
      <sheetName val="캔개발배경"/>
      <sheetName val="일정표"/>
      <sheetName val="Macro1"/>
      <sheetName val="계열사현황종합"/>
      <sheetName val="#REF"/>
      <sheetName val="사원번호"/>
      <sheetName val=" 작업 공수 산출.xlsx"/>
      <sheetName val="분류"/>
      <sheetName val="3-4현"/>
      <sheetName val="3-3현"/>
      <sheetName val="Setup"/>
      <sheetName val="bulk_data"/>
      <sheetName val="전체단가표"/>
      <sheetName val="頻道"/>
      <sheetName val="캔판매목표"/>
      <sheetName val="주류실적(위스키)"/>
      <sheetName val="스낵물량"/>
      <sheetName val="수정시산표"/>
      <sheetName val="주_부자재"/>
      <sheetName val="①매출"/>
      <sheetName val="당월손익계산서★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96월별PL"/>
      <sheetName val="양식(직판용)"/>
      <sheetName val="이고량입력"/>
      <sheetName val="이익영"/>
      <sheetName val="원가율"/>
      <sheetName val="평가"/>
      <sheetName val="그래프 (2)"/>
      <sheetName val="내역서"/>
      <sheetName val="탄산"/>
      <sheetName val="9567매출"/>
      <sheetName val="원본 (4)"/>
      <sheetName val="토목공사"/>
      <sheetName val="원본_(4)"/>
      <sheetName val="일반평가"/>
      <sheetName val="월,누계 (2)"/>
      <sheetName val="비용"/>
      <sheetName val="당년사별실적"/>
      <sheetName val="05년점포별계획"/>
      <sheetName val="팀별 실적"/>
      <sheetName val="팀별 실적 (환산)"/>
      <sheetName val="부정형평가"/>
      <sheetName val="재공품평가"/>
      <sheetName val="99판매"/>
      <sheetName val="0"/>
      <sheetName val="연회비"/>
      <sheetName val="본문"/>
      <sheetName val="MAIN"/>
      <sheetName val="AR"/>
      <sheetName val="20020327184814"/>
      <sheetName val="FC-101"/>
      <sheetName val="단가"/>
      <sheetName val="원본_(4)1"/>
      <sheetName val="월,누계_(2)"/>
      <sheetName val="그래프_(2)"/>
      <sheetName val="팀별_실적"/>
      <sheetName val="팀별_실적_(환산)"/>
      <sheetName val="Sheet2"/>
      <sheetName val="Sheet3"/>
      <sheetName val="구분"/>
      <sheetName val="홈엔"/>
      <sheetName val="목_차2"/>
      <sheetName val="2011년_Movie_DB1"/>
      <sheetName val="_작업_공수_산출_xlsx"/>
      <sheetName val="학교"/>
      <sheetName val="9-1차이내역"/>
      <sheetName val="축종별판매량"/>
      <sheetName val="Baby일위대가"/>
      <sheetName val="국내조달(통합-1)"/>
      <sheetName val="KCS-CA"/>
      <sheetName val="내역"/>
      <sheetName val="노무비"/>
      <sheetName val="대차대조표"/>
      <sheetName val="을지"/>
      <sheetName val="단가조사"/>
      <sheetName val="노임단가"/>
      <sheetName val="장기"/>
      <sheetName val="0510"/>
      <sheetName val="0512"/>
      <sheetName val="0511"/>
      <sheetName val="0601"/>
      <sheetName val="손익"/>
      <sheetName val="주간계획"/>
      <sheetName val="영업소실적"/>
      <sheetName val="인원raw200506(5,505+1)"/>
      <sheetName val="정의"/>
      <sheetName val="실행철강하도"/>
      <sheetName val="허들기준"/>
      <sheetName val="당월계획비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사원번호"/>
      <sheetName val="2010년_Movie_DB"/>
      <sheetName val="2010년_라인업"/>
      <sheetName val="2010년_주요지면_Imp"/>
      <sheetName val="2010년_주요지면_Click"/>
      <sheetName val="hide"/>
      <sheetName val="CTEMCOST"/>
      <sheetName val="2011년 Movie DB"/>
      <sheetName val="2. 역별 월별 유동인구"/>
      <sheetName val="코드"/>
      <sheetName val="2011년_Movie_DB"/>
      <sheetName val="위스키3"/>
      <sheetName val="주류전체2"/>
      <sheetName val="관리일지"/>
      <sheetName val="분류"/>
      <sheetName val="가격표"/>
      <sheetName val="앱디스코 매체제안서"/>
      <sheetName val="현금"/>
      <sheetName val="원본"/>
      <sheetName val="Sheet1"/>
      <sheetName val="bulk_data"/>
      <sheetName val="報價單"/>
      <sheetName val="기준 자료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할인정책_0106"/>
      <sheetName val="(구)2010년 할인정책_1120"/>
      <sheetName val="Sheet1"/>
      <sheetName val="2010년_할인정책_0106"/>
      <sheetName val="(구)2010년_할인정책_1120"/>
    </sheetNames>
    <sheetDataSet>
      <sheetData sheetId="0" refreshError="1"/>
      <sheetData sheetId="1" refreshError="1"/>
      <sheetData sheetId="2">
        <row r="2">
          <cell r="B2" t="str">
            <v>15/20초</v>
          </cell>
        </row>
        <row r="3">
          <cell r="B3" t="str">
            <v>30초</v>
          </cell>
        </row>
      </sheetData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2010년 Movie DB"/>
      <sheetName val="다음"/>
      <sheetName val="조인스MSN"/>
      <sheetName val="Daum"/>
      <sheetName val="IO&amp;GL"/>
      <sheetName val="합계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페이스북 모바일 DA 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3년 Movie DB"/>
      <sheetName val="2012년 Movie DB"/>
      <sheetName val="2011년 Movie DB"/>
      <sheetName val="2010년 Movie DB"/>
      <sheetName val="2012년 상반기 Movie DB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NHN.Media Proposal.nhn.ver1.5"/>
      <sheetName val="월간일정표"/>
      <sheetName val="MediaMix"/>
      <sheetName val="엔미즈_코리아"/>
      <sheetName val="Sheet1"/>
      <sheetName val="코드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단가표"/>
      <sheetName val="월간일정표"/>
      <sheetName val="네이버"/>
      <sheetName val="SBS"/>
      <sheetName val="KBS"/>
      <sheetName val="다음"/>
      <sheetName val="조인스MSN"/>
      <sheetName val="Plan"/>
      <sheetName val="가이드모음"/>
      <sheetName val="게재지면캡쳐"/>
      <sheetName val="mediamix샘플_확정 (2)"/>
      <sheetName val="mediamix샘플_확정"/>
      <sheetName val="연간제안샘플"/>
      <sheetName val="단발제안샘플"/>
      <sheetName val="200MM"/>
      <sheetName val="mediamix샘플_확정 (3)"/>
      <sheetName val="엔미즈_코리아"/>
      <sheetName val="전체"/>
      <sheetName val="08주택"/>
      <sheetName val="Sheet3"/>
      <sheetName val="2011년 Movie DB"/>
      <sheetName val="메트로_승,하차DB"/>
      <sheetName val="역사리스트DB"/>
      <sheetName val="채널"/>
      <sheetName val="Gen Assumptions"/>
      <sheetName val="홈엔"/>
    </sheetNames>
    <sheetDataSet>
      <sheetData sheetId="0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0.12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0.16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0.04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0.13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0.31</v>
          </cell>
        </row>
        <row r="10">
          <cell r="A10" t="str">
            <v>네이버&gt;Home&gt;&gt;상단 배너(390x100)</v>
          </cell>
          <cell r="B10">
            <v>3133730605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0.14000000000000001</v>
          </cell>
        </row>
        <row r="11">
          <cell r="A11" t="str">
            <v>네이버&gt;Home&gt;&gt;동영상 익스팬더블(390x100, 394x310)</v>
          </cell>
          <cell r="B11">
            <v>3133730605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0.19</v>
          </cell>
        </row>
        <row r="12">
          <cell r="A12" t="str">
            <v>네이버&gt;Home&gt;&gt;프리미엄_텍스트(170x13)</v>
          </cell>
          <cell r="B12">
            <v>39.856999999999999</v>
          </cell>
          <cell r="C12" t="str">
            <v>170*13</v>
          </cell>
          <cell r="D12" t="str">
            <v>10K</v>
          </cell>
          <cell r="E12">
            <v>20000000</v>
          </cell>
          <cell r="F12">
            <v>0.01</v>
          </cell>
        </row>
        <row r="13">
          <cell r="A13" t="str">
            <v>네이버&gt;검색&gt;&gt;랜덤아이콘(100x100)</v>
          </cell>
          <cell r="B13">
            <v>265714290.14300001</v>
          </cell>
          <cell r="C13" t="str">
            <v>130*110</v>
          </cell>
          <cell r="D13" t="str">
            <v>50K</v>
          </cell>
          <cell r="E13">
            <v>60000000</v>
          </cell>
          <cell r="F13">
            <v>0.02</v>
          </cell>
        </row>
        <row r="14">
          <cell r="A14" t="str">
            <v>네이버&gt;검색&gt;인기검색어/지식검색&gt;&gt;우측배너(240x240)</v>
          </cell>
          <cell r="B14">
            <v>2045856</v>
          </cell>
          <cell r="C14" t="str">
            <v>148*600</v>
          </cell>
          <cell r="D14" t="str">
            <v>130K</v>
          </cell>
          <cell r="E14">
            <v>2</v>
          </cell>
          <cell r="F14">
            <v>0.38</v>
          </cell>
        </row>
        <row r="15">
          <cell r="A15" t="str">
            <v>네이버&gt;검색&gt;인물&gt;&gt;우측 배너(240x240)</v>
          </cell>
          <cell r="B15">
            <v>12473699</v>
          </cell>
          <cell r="C15" t="str">
            <v>240*240</v>
          </cell>
          <cell r="D15" t="str">
            <v>130K</v>
          </cell>
          <cell r="E15">
            <v>2</v>
          </cell>
          <cell r="F15">
            <v>0.1</v>
          </cell>
        </row>
        <row r="16">
          <cell r="A16" t="str">
            <v>네이버&gt;검색&gt;지식시장&gt;&gt;우측배너(240x240)</v>
          </cell>
          <cell r="B16">
            <v>14931339</v>
          </cell>
          <cell r="C16" t="str">
            <v>240*240</v>
          </cell>
          <cell r="D16" t="str">
            <v>130K</v>
          </cell>
          <cell r="E16">
            <v>2</v>
          </cell>
          <cell r="F16">
            <v>0.09</v>
          </cell>
        </row>
        <row r="17">
          <cell r="A17" t="str">
            <v>네이버&gt;검색&gt;지식인&gt;&gt;우측 배너(240x240)</v>
          </cell>
          <cell r="B17">
            <v>868376535</v>
          </cell>
          <cell r="C17" t="str">
            <v>240*240</v>
          </cell>
          <cell r="D17" t="str">
            <v>130K</v>
          </cell>
          <cell r="E17">
            <v>2</v>
          </cell>
          <cell r="F17">
            <v>0.05</v>
          </cell>
        </row>
        <row r="18">
          <cell r="A18" t="str">
            <v>네이버&gt;검색&gt;특허&gt;&gt;우측 배너(240x240)</v>
          </cell>
          <cell r="B18">
            <v>2969253</v>
          </cell>
          <cell r="C18" t="str">
            <v>240*240</v>
          </cell>
          <cell r="D18" t="str">
            <v>130K</v>
          </cell>
          <cell r="E18">
            <v>1.5</v>
          </cell>
          <cell r="F18">
            <v>0.04</v>
          </cell>
        </row>
        <row r="19">
          <cell r="A19" t="str">
            <v>네이버&gt;금융&gt;&gt;금융서브_우측 배너(148x600)</v>
          </cell>
          <cell r="B19">
            <v>1796484</v>
          </cell>
          <cell r="C19" t="str">
            <v>148*600</v>
          </cell>
          <cell r="D19" t="str">
            <v>130K</v>
          </cell>
          <cell r="E19">
            <v>1.5</v>
          </cell>
          <cell r="F19">
            <v>0.08</v>
          </cell>
        </row>
        <row r="20">
          <cell r="A20" t="str">
            <v>네이버&gt;금융&gt;&gt;금융탑_우측 배너(240x240)</v>
          </cell>
          <cell r="B20">
            <v>44189989</v>
          </cell>
          <cell r="C20" t="str">
            <v>240*240</v>
          </cell>
          <cell r="D20" t="str">
            <v>130K</v>
          </cell>
          <cell r="E20">
            <v>3</v>
          </cell>
          <cell r="F20">
            <v>0.05</v>
          </cell>
        </row>
        <row r="21">
          <cell r="A21" t="str">
            <v>네이버&gt;금융&gt;증권&gt;증권서브&gt;&gt;우측 배너(148x600)</v>
          </cell>
          <cell r="B21">
            <v>252906687</v>
          </cell>
          <cell r="C21" t="str">
            <v>148*600</v>
          </cell>
          <cell r="D21" t="str">
            <v>130K</v>
          </cell>
          <cell r="E21">
            <v>1.5</v>
          </cell>
          <cell r="F21">
            <v>0.03</v>
          </cell>
        </row>
        <row r="22">
          <cell r="A22" t="str">
            <v>네이버&gt;내PC&gt;자료실&gt;&gt;우측 배너(200x200)</v>
          </cell>
          <cell r="B22">
            <v>42936389</v>
          </cell>
          <cell r="C22" t="str">
            <v>200*200</v>
          </cell>
          <cell r="D22" t="str">
            <v>130K</v>
          </cell>
          <cell r="E22">
            <v>1.5</v>
          </cell>
          <cell r="F22">
            <v>0.03</v>
          </cell>
        </row>
        <row r="23">
          <cell r="A23" t="str">
            <v>네이버&gt;미디어&gt;뉴스&gt;&gt;기사내 배너(240x240)</v>
          </cell>
          <cell r="B23">
            <v>176444928.30000001</v>
          </cell>
          <cell r="C23" t="str">
            <v>240*240</v>
          </cell>
          <cell r="D23" t="str">
            <v>130K</v>
          </cell>
          <cell r="E23">
            <v>4</v>
          </cell>
          <cell r="F23">
            <v>0.12</v>
          </cell>
        </row>
        <row r="24">
          <cell r="A24" t="str">
            <v>네이버&gt;미디어&gt;뉴스&gt;&gt;뉴스_HD동영상배너(240x240)</v>
          </cell>
          <cell r="B24">
            <v>412689043.19999999</v>
          </cell>
          <cell r="C24" t="str">
            <v>240*240</v>
          </cell>
          <cell r="D24" t="str">
            <v>130K+20M</v>
          </cell>
          <cell r="E24">
            <v>5</v>
          </cell>
          <cell r="F24" t="str">
            <v>-</v>
          </cell>
        </row>
        <row r="25">
          <cell r="A25" t="str">
            <v>네이버&gt;미디어&gt;뉴스&gt;&gt;뉴스_아웃배너(240x240)</v>
          </cell>
          <cell r="B25">
            <v>659780358.70000005</v>
          </cell>
          <cell r="C25" t="str">
            <v>240*240</v>
          </cell>
          <cell r="D25" t="str">
            <v>130K</v>
          </cell>
          <cell r="E25">
            <v>4</v>
          </cell>
          <cell r="F25">
            <v>0.05</v>
          </cell>
        </row>
        <row r="26">
          <cell r="A26" t="str">
            <v>네이버&gt;미디어&gt;뉴스&gt;&gt;뉴스_확장배너(240x240)</v>
          </cell>
          <cell r="B26">
            <v>659780358.70000005</v>
          </cell>
          <cell r="C26" t="str">
            <v>240*240</v>
          </cell>
          <cell r="D26" t="str">
            <v>300K</v>
          </cell>
          <cell r="E26">
            <v>3</v>
          </cell>
          <cell r="F26">
            <v>0.04</v>
          </cell>
        </row>
        <row r="27">
          <cell r="A27" t="str">
            <v>네이버&gt;미디어&gt;뉴스&gt;&gt;섹션홈_우측 배너(240x240)</v>
          </cell>
          <cell r="B27">
            <v>135431982.09999999</v>
          </cell>
          <cell r="C27" t="str">
            <v>240*240</v>
          </cell>
          <cell r="D27" t="str">
            <v>130K</v>
          </cell>
          <cell r="E27">
            <v>3</v>
          </cell>
          <cell r="F27">
            <v>0.03</v>
          </cell>
        </row>
        <row r="28">
          <cell r="A28" t="str">
            <v>네이버&gt;미디어&gt;뉴스&gt;&gt;우측 배너(240x240)</v>
          </cell>
          <cell r="B28">
            <v>1597686459.96</v>
          </cell>
          <cell r="C28" t="str">
            <v>240*240</v>
          </cell>
          <cell r="D28" t="str">
            <v>130K</v>
          </cell>
          <cell r="E28">
            <v>2</v>
          </cell>
          <cell r="F28">
            <v>0.06</v>
          </cell>
        </row>
        <row r="29">
          <cell r="A29" t="str">
            <v>네이버&gt;미디어&gt;뉴스&gt;&gt;통합 텍스트</v>
          </cell>
          <cell r="B29">
            <v>1031484257.2</v>
          </cell>
          <cell r="C29" t="str">
            <v>25/33자</v>
          </cell>
          <cell r="D29" t="str">
            <v>-</v>
          </cell>
          <cell r="E29">
            <v>0.5</v>
          </cell>
          <cell r="F29">
            <v>0.05</v>
          </cell>
        </row>
        <row r="30">
          <cell r="A30" t="str">
            <v>네이버&gt;미디어&gt;뉴스&gt;홈&gt;&gt;뉴스홈 브랜딩보드(270x180)</v>
          </cell>
          <cell r="B30" t="str">
            <v>-</v>
          </cell>
          <cell r="C30" t="str">
            <v>270*180</v>
          </cell>
          <cell r="D30" t="str">
            <v>150K</v>
          </cell>
          <cell r="E30">
            <v>20000000</v>
          </cell>
          <cell r="F30">
            <v>0.25</v>
          </cell>
        </row>
        <row r="31">
          <cell r="A31" t="str">
            <v>네이버&gt;미디어&gt;스포츠&gt;&gt;우측 배너(240x240)</v>
          </cell>
          <cell r="B31">
            <v>435302101.75999999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0.04</v>
          </cell>
        </row>
        <row r="32">
          <cell r="A32" t="str">
            <v>네이버&gt;미디어&gt;스포츠&gt;&gt;텍스트</v>
          </cell>
          <cell r="B32">
            <v>191859416.09999999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0.01</v>
          </cell>
        </row>
        <row r="33">
          <cell r="A33" t="str">
            <v>네이버&gt;사전&gt;&gt;우측 배너(240x240)</v>
          </cell>
          <cell r="B33">
            <v>192200821</v>
          </cell>
          <cell r="C33" t="str">
            <v>240*240</v>
          </cell>
          <cell r="D33" t="str">
            <v>130K</v>
          </cell>
          <cell r="E33">
            <v>2</v>
          </cell>
          <cell r="F33">
            <v>0.03</v>
          </cell>
        </row>
        <row r="34">
          <cell r="A34" t="str">
            <v>네이버&gt;생활&gt;날씨&gt;&gt;우측 배너(200x200)</v>
          </cell>
          <cell r="B34">
            <v>14178443</v>
          </cell>
          <cell r="C34" t="str">
            <v>200*200</v>
          </cell>
          <cell r="D34" t="str">
            <v>130K</v>
          </cell>
          <cell r="E34">
            <v>2</v>
          </cell>
          <cell r="F34">
            <v>0.19</v>
          </cell>
        </row>
        <row r="35">
          <cell r="A35" t="str">
            <v>네이버&gt;생활&gt;여행&gt;여행서브&gt;&gt;우측 배너(160x400)</v>
          </cell>
          <cell r="B35">
            <v>4103745</v>
          </cell>
          <cell r="C35" t="str">
            <v>160*400</v>
          </cell>
          <cell r="D35" t="str">
            <v>130K</v>
          </cell>
          <cell r="E35">
            <v>3</v>
          </cell>
          <cell r="F35">
            <v>0.1</v>
          </cell>
        </row>
        <row r="36">
          <cell r="A36" t="str">
            <v>네이버&gt;생활&gt;여행&gt;여행홈&gt;&gt;TI(500x300)</v>
          </cell>
          <cell r="B36" t="str">
            <v>-</v>
          </cell>
          <cell r="C36" t="str">
            <v>500*300</v>
          </cell>
          <cell r="D36" t="str">
            <v>150K</v>
          </cell>
          <cell r="E36">
            <v>7000000</v>
          </cell>
          <cell r="F36">
            <v>2.0499999999999998</v>
          </cell>
        </row>
        <row r="37">
          <cell r="A37" t="str">
            <v>네이버&gt;생활&gt;여행&gt;여행홈&gt;&gt;우측 배너(200x200)</v>
          </cell>
          <cell r="B37">
            <v>1680252</v>
          </cell>
          <cell r="C37" t="str">
            <v>200*200</v>
          </cell>
          <cell r="D37" t="str">
            <v>130K</v>
          </cell>
          <cell r="E37">
            <v>3</v>
          </cell>
          <cell r="F37">
            <v>0.19</v>
          </cell>
        </row>
        <row r="38">
          <cell r="A38" t="str">
            <v>네이버&gt;생활&gt;요리&gt;요리서브&gt;&gt;우측 배너(160x400)</v>
          </cell>
          <cell r="B38">
            <v>12216187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7.0000000000000007E-2</v>
          </cell>
        </row>
        <row r="39">
          <cell r="A39" t="str">
            <v>네이버&gt;생활&gt;요리&gt;요리홈&gt;&gt;우측 배너(200x200)</v>
          </cell>
          <cell r="B39">
            <v>1331755</v>
          </cell>
          <cell r="C39" t="str">
            <v>200*200</v>
          </cell>
          <cell r="D39" t="str">
            <v>130K</v>
          </cell>
          <cell r="E39">
            <v>3</v>
          </cell>
          <cell r="F39">
            <v>0.06</v>
          </cell>
        </row>
        <row r="40">
          <cell r="A40" t="str">
            <v>네이버&gt;생활&gt;월드타운&gt;월드타운서브&gt;&gt;우측 배너(160x400)</v>
          </cell>
          <cell r="B40">
            <v>19634861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7.0000000000000007E-2</v>
          </cell>
        </row>
        <row r="41">
          <cell r="A41" t="str">
            <v>네이버&gt;생활&gt;월드타운&gt;월드타운홈&gt;&gt;우측 배너(240x240)</v>
          </cell>
          <cell r="B41">
            <v>1020388</v>
          </cell>
          <cell r="C41" t="str">
            <v>240*240</v>
          </cell>
          <cell r="D41" t="str">
            <v>130K</v>
          </cell>
          <cell r="E41">
            <v>3</v>
          </cell>
          <cell r="F41">
            <v>0.1</v>
          </cell>
        </row>
        <row r="42">
          <cell r="A42" t="str">
            <v>네이버&gt;생활&gt;인조이재팬&gt;&gt;우측 배너(240x240)</v>
          </cell>
          <cell r="B42">
            <v>3437151</v>
          </cell>
          <cell r="C42" t="str">
            <v>240*240</v>
          </cell>
          <cell r="D42" t="str">
            <v>130K</v>
          </cell>
          <cell r="E42">
            <v>1.5</v>
          </cell>
          <cell r="F42">
            <v>0.09</v>
          </cell>
        </row>
        <row r="43">
          <cell r="A43" t="str">
            <v>네이버&gt;생활&gt;인조이재팬&gt;번역게시판&gt;&gt;우측 배너(148x600)</v>
          </cell>
          <cell r="B43">
            <v>43235785</v>
          </cell>
          <cell r="C43" t="str">
            <v>148*600</v>
          </cell>
          <cell r="D43" t="str">
            <v>130K</v>
          </cell>
          <cell r="E43">
            <v>1.5</v>
          </cell>
          <cell r="F43">
            <v>0.03</v>
          </cell>
        </row>
        <row r="44">
          <cell r="A44" t="str">
            <v>네이버&gt;생활&gt;자동차&gt;&gt;우측 배너(240x240)</v>
          </cell>
          <cell r="B44">
            <v>17133229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0.09</v>
          </cell>
        </row>
        <row r="45">
          <cell r="A45" t="str">
            <v>네이버&gt;생활&gt;자동차&gt;자료실&gt;&gt;우측 배너(160x400)</v>
          </cell>
          <cell r="B45">
            <v>52120780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7.0000000000000007E-2</v>
          </cell>
        </row>
        <row r="46">
          <cell r="A46" t="str">
            <v>네이버&gt;생활&gt;지역정보&gt;교통&gt;&gt;우측배너(200x200)</v>
          </cell>
          <cell r="B46">
            <v>748806</v>
          </cell>
          <cell r="C46" t="str">
            <v>200*200</v>
          </cell>
          <cell r="D46" t="str">
            <v>130K</v>
          </cell>
          <cell r="E46">
            <v>2</v>
          </cell>
          <cell r="F46">
            <v>0.05</v>
          </cell>
        </row>
        <row r="47">
          <cell r="A47" t="str">
            <v>네이버&gt;생활&gt;지역정보&gt;지역정보서브&gt;&gt;우측 배너(200x200)</v>
          </cell>
          <cell r="B47">
            <v>339217</v>
          </cell>
          <cell r="C47" t="str">
            <v>200*200</v>
          </cell>
          <cell r="D47" t="str">
            <v>130K</v>
          </cell>
          <cell r="E47">
            <v>2</v>
          </cell>
          <cell r="F47">
            <v>0.05</v>
          </cell>
        </row>
        <row r="48">
          <cell r="A48" t="str">
            <v>네이버&gt;생활&gt;지역정보&gt;지역정보서브&gt;&gt;지도검색 배너(400x70)</v>
          </cell>
          <cell r="B48">
            <v>12011706</v>
          </cell>
          <cell r="C48" t="str">
            <v>400*70</v>
          </cell>
          <cell r="D48" t="str">
            <v>130K</v>
          </cell>
          <cell r="E48">
            <v>2</v>
          </cell>
          <cell r="F48">
            <v>0.36</v>
          </cell>
        </row>
        <row r="49">
          <cell r="A49" t="str">
            <v>네이버&gt;생활&gt;지역정보&gt;지역정보홈&gt;&gt;우측 배너(240x240)</v>
          </cell>
          <cell r="B49">
            <v>2065325</v>
          </cell>
          <cell r="C49" t="str">
            <v>240*240</v>
          </cell>
          <cell r="D49" t="str">
            <v>130K</v>
          </cell>
          <cell r="E49">
            <v>2</v>
          </cell>
          <cell r="F49">
            <v>0.06</v>
          </cell>
        </row>
        <row r="50">
          <cell r="A50" t="str">
            <v>네이버&gt;엔터테이먼트&gt;뮤직&gt;뮤직서브&gt;&gt;우측 배너(200x170)</v>
          </cell>
          <cell r="B50">
            <v>28855167</v>
          </cell>
          <cell r="C50" t="str">
            <v>200*170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네이버&gt;엔터테이먼트&gt;뮤직&gt;뮤직플레이어&gt;&gt;하단 배너(380x50)</v>
          </cell>
          <cell r="B51">
            <v>2549816</v>
          </cell>
          <cell r="C51" t="str">
            <v>380*50</v>
          </cell>
          <cell r="D51" t="str">
            <v>130K</v>
          </cell>
          <cell r="E51">
            <v>1.5</v>
          </cell>
          <cell r="F51">
            <v>0.5</v>
          </cell>
        </row>
        <row r="52">
          <cell r="A52" t="str">
            <v>네이버&gt;엔터테이먼트&gt;뮤직&gt;뮤직홈&gt;&gt;우측 배너(200x170)</v>
          </cell>
          <cell r="B52">
            <v>2794616</v>
          </cell>
          <cell r="C52" t="str">
            <v>200*170</v>
          </cell>
          <cell r="D52" t="str">
            <v>130K</v>
          </cell>
          <cell r="E52">
            <v>3</v>
          </cell>
          <cell r="F52">
            <v>7.0000000000000007E-2</v>
          </cell>
        </row>
        <row r="53">
          <cell r="A53" t="str">
            <v>네이버&gt;엔터테이먼트&gt;영화&gt;영화서브&gt;&gt;우측 배너(220x180)</v>
          </cell>
          <cell r="B53">
            <v>55784569</v>
          </cell>
          <cell r="C53" t="str">
            <v>220*180</v>
          </cell>
          <cell r="D53" t="str">
            <v>130K</v>
          </cell>
          <cell r="E53">
            <v>2</v>
          </cell>
          <cell r="F53">
            <v>7.0000000000000007E-2</v>
          </cell>
        </row>
        <row r="54">
          <cell r="A54" t="str">
            <v>네이버&gt;엔터테이먼트&gt;영화&gt;영화서브&gt;동영상플레이어&gt;&gt;하단 배너(700x95)</v>
          </cell>
          <cell r="B54">
            <v>53.143000000000001</v>
          </cell>
          <cell r="C54" t="str">
            <v>700*95</v>
          </cell>
          <cell r="D54" t="str">
            <v>130K</v>
          </cell>
          <cell r="E54">
            <v>1000000</v>
          </cell>
          <cell r="F54">
            <v>0.62</v>
          </cell>
        </row>
        <row r="55">
          <cell r="A55" t="str">
            <v>네이버&gt;엔터테이먼트&gt;영화&gt;영화서브&gt;슬라이드쇼&gt;&gt;우측 배너(230x110)</v>
          </cell>
          <cell r="B55">
            <v>6139263</v>
          </cell>
          <cell r="C55" t="str">
            <v>230*110</v>
          </cell>
          <cell r="D55" t="str">
            <v>130K</v>
          </cell>
          <cell r="E55">
            <v>2</v>
          </cell>
          <cell r="F55">
            <v>0.22</v>
          </cell>
        </row>
        <row r="56">
          <cell r="A56" t="str">
            <v>네이버&gt;엔터테이먼트&gt;영화&gt;영화홈&gt;&gt;좌측 배너(400x110)</v>
          </cell>
          <cell r="B56">
            <v>53.143000000000001</v>
          </cell>
          <cell r="C56" t="str">
            <v>400*100</v>
          </cell>
          <cell r="D56" t="str">
            <v>130K</v>
          </cell>
          <cell r="E56">
            <v>2000000</v>
          </cell>
          <cell r="F56">
            <v>0.83</v>
          </cell>
        </row>
        <row r="57">
          <cell r="A57" t="str">
            <v>네이버&gt;엔터테이먼트&gt;영화&gt;영화홈&gt;&gt;좌측 배너(420x340)</v>
          </cell>
          <cell r="B57">
            <v>53.143000000000001</v>
          </cell>
          <cell r="C57" t="str">
            <v>420*340</v>
          </cell>
          <cell r="D57" t="str">
            <v>130K</v>
          </cell>
          <cell r="E57">
            <v>3000000</v>
          </cell>
          <cell r="F57">
            <v>1.1299999999999999</v>
          </cell>
        </row>
        <row r="58">
          <cell r="A58" t="str">
            <v>네이버&gt;엔터테이먼트&gt;운세&gt;&gt;우측 배너(148x600)</v>
          </cell>
          <cell r="B58">
            <v>6378044</v>
          </cell>
          <cell r="C58" t="str">
            <v>148*600</v>
          </cell>
          <cell r="D58" t="str">
            <v>130K</v>
          </cell>
          <cell r="E58">
            <v>1.5</v>
          </cell>
          <cell r="F58">
            <v>0.08</v>
          </cell>
        </row>
        <row r="59">
          <cell r="A59" t="str">
            <v>네이버&gt;엔터테이먼트&gt;운세&gt;&gt;우측 배너(240x240)</v>
          </cell>
          <cell r="B59">
            <v>1417888</v>
          </cell>
          <cell r="C59" t="str">
            <v>240*240</v>
          </cell>
          <cell r="D59" t="str">
            <v>130K</v>
          </cell>
          <cell r="E59">
            <v>1.5</v>
          </cell>
          <cell r="F59">
            <v>0.06</v>
          </cell>
        </row>
        <row r="60">
          <cell r="A60" t="str">
            <v>네이버&gt;여성&gt;미즈생각&gt;미즈생각서브&gt;&gt;우측 배너(160x400)</v>
          </cell>
          <cell r="B60">
            <v>14851934</v>
          </cell>
          <cell r="C60" t="str">
            <v>160*400</v>
          </cell>
          <cell r="D60" t="str">
            <v>130K</v>
          </cell>
          <cell r="E60">
            <v>3</v>
          </cell>
          <cell r="F60">
            <v>0.03</v>
          </cell>
        </row>
        <row r="61">
          <cell r="A61" t="str">
            <v>네이버&gt;여성&gt;미즈생각&gt;미즈생각서브&gt;&gt;텍스트</v>
          </cell>
          <cell r="B61">
            <v>9431339</v>
          </cell>
          <cell r="C61" t="str">
            <v>25/33자</v>
          </cell>
          <cell r="D61" t="str">
            <v>-</v>
          </cell>
          <cell r="E61">
            <v>3</v>
          </cell>
          <cell r="F61">
            <v>0.02</v>
          </cell>
        </row>
        <row r="62">
          <cell r="A62" t="str">
            <v>네이버&gt;여성&gt;미즈생각&gt;미즈생각홈&gt;&gt;우측 배너(200x200)</v>
          </cell>
          <cell r="B62">
            <v>1749741</v>
          </cell>
          <cell r="C62" t="str">
            <v>200*200</v>
          </cell>
          <cell r="D62" t="str">
            <v>130K</v>
          </cell>
          <cell r="E62">
            <v>3</v>
          </cell>
          <cell r="F62">
            <v>0.04</v>
          </cell>
        </row>
        <row r="63">
          <cell r="A63" t="str">
            <v>네이버&gt;여성&gt;미즈생각&gt;미즈생각홈&gt;&gt;확장 배너(50x50)</v>
          </cell>
          <cell r="B63" t="str">
            <v>-</v>
          </cell>
          <cell r="C63" t="str">
            <v>405*325</v>
          </cell>
          <cell r="D63" t="str">
            <v>150K</v>
          </cell>
          <cell r="E63">
            <v>7000000</v>
          </cell>
          <cell r="F63">
            <v>0.34</v>
          </cell>
        </row>
        <row r="64">
          <cell r="A64" t="str">
            <v>네이버&gt;여성&gt;미즈생각&gt;사랑방&gt;&gt;스폰서배너(150x50)</v>
          </cell>
          <cell r="B64" t="str">
            <v>-</v>
          </cell>
          <cell r="C64" t="str">
            <v>150*50</v>
          </cell>
          <cell r="D64" t="str">
            <v>150K</v>
          </cell>
          <cell r="E64">
            <v>10000000</v>
          </cell>
          <cell r="F64">
            <v>0</v>
          </cell>
        </row>
        <row r="65">
          <cell r="A65" t="str">
            <v>네이버&gt;이야기&gt;메일&gt;메일 서브&gt;&gt;빅보드(350x300)</v>
          </cell>
          <cell r="B65">
            <v>12850647</v>
          </cell>
          <cell r="C65" t="str">
            <v>350*300</v>
          </cell>
          <cell r="D65" t="str">
            <v>150K</v>
          </cell>
          <cell r="E65">
            <v>4</v>
          </cell>
          <cell r="F65">
            <v>0.25</v>
          </cell>
        </row>
        <row r="66">
          <cell r="A66" t="str">
            <v>네이버&gt;이야기&gt;메일&gt;메일 서브&gt;&gt;좌측 배너(175x130)</v>
          </cell>
          <cell r="B66">
            <v>326670602</v>
          </cell>
          <cell r="C66" t="str">
            <v>175*130</v>
          </cell>
          <cell r="D66" t="str">
            <v>130K</v>
          </cell>
          <cell r="E66">
            <v>1.5</v>
          </cell>
          <cell r="F66">
            <v>0.02</v>
          </cell>
        </row>
        <row r="67">
          <cell r="A67" t="str">
            <v>네이버&gt;이야기&gt;메일&gt;메일홈&gt;&gt;우측 배너(250x155)</v>
          </cell>
          <cell r="B67">
            <v>96056629</v>
          </cell>
          <cell r="C67" t="str">
            <v>250*155</v>
          </cell>
          <cell r="D67" t="str">
            <v>130K</v>
          </cell>
          <cell r="E67">
            <v>3</v>
          </cell>
          <cell r="F67">
            <v>0.02</v>
          </cell>
        </row>
        <row r="68">
          <cell r="A68" t="str">
            <v>네이버&gt;이야기&gt;모자이크&gt;&gt;우측 배너(240x240)</v>
          </cell>
          <cell r="B68">
            <v>275497</v>
          </cell>
          <cell r="C68" t="str">
            <v>240*240</v>
          </cell>
          <cell r="D68" t="str">
            <v>130K</v>
          </cell>
          <cell r="E68">
            <v>2</v>
          </cell>
          <cell r="F68">
            <v>0.13</v>
          </cell>
        </row>
        <row r="69">
          <cell r="A69" t="str">
            <v>네이버&gt;이야기&gt;붐&gt;&gt;우측 배너(250x155)</v>
          </cell>
          <cell r="B69">
            <v>116342478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0.04</v>
          </cell>
        </row>
        <row r="70">
          <cell r="A70" t="str">
            <v>네이버&gt;이야기&gt;붐&gt;붐홈&gt;&gt;좌측 배너(175x50)</v>
          </cell>
          <cell r="B70">
            <v>13777776</v>
          </cell>
          <cell r="C70" t="str">
            <v>175*50</v>
          </cell>
          <cell r="D70" t="str">
            <v>130K</v>
          </cell>
          <cell r="E70">
            <v>1.5</v>
          </cell>
          <cell r="F70">
            <v>0.02</v>
          </cell>
        </row>
        <row r="71">
          <cell r="A71" t="str">
            <v>네이버&gt;이야기&gt;블로그&gt;&gt;좌측 배너(175x50)</v>
          </cell>
          <cell r="B71">
            <v>62108553</v>
          </cell>
          <cell r="C71" t="str">
            <v>175*50</v>
          </cell>
          <cell r="D71" t="str">
            <v>130K</v>
          </cell>
          <cell r="E71">
            <v>1.5</v>
          </cell>
          <cell r="F71">
            <v>7.0000000000000007E-2</v>
          </cell>
        </row>
        <row r="72">
          <cell r="A72" t="str">
            <v>네이버&gt;이야기&gt;블로그&gt;블로그서브&gt;&gt;우측 배너(148x600)</v>
          </cell>
          <cell r="B72">
            <v>4563427</v>
          </cell>
          <cell r="C72" t="str">
            <v>148*600</v>
          </cell>
          <cell r="D72" t="str">
            <v>130K</v>
          </cell>
          <cell r="E72">
            <v>1.5</v>
          </cell>
          <cell r="F72">
            <v>0.1</v>
          </cell>
        </row>
        <row r="73">
          <cell r="A73" t="str">
            <v>네이버&gt;이야기&gt;블로그&gt;블로그홈&gt;&gt;우측 배너(240x240)</v>
          </cell>
          <cell r="B73">
            <v>47697566</v>
          </cell>
          <cell r="C73" t="str">
            <v>240*240</v>
          </cell>
          <cell r="D73" t="str">
            <v>130K</v>
          </cell>
          <cell r="E73">
            <v>3</v>
          </cell>
          <cell r="F73">
            <v>0.05</v>
          </cell>
        </row>
        <row r="74">
          <cell r="A74" t="str">
            <v>네이버&gt;이야기&gt;카페&gt;&gt;좌측 배너(175x50)</v>
          </cell>
          <cell r="B74">
            <v>94924800</v>
          </cell>
          <cell r="C74" t="str">
            <v>175*50</v>
          </cell>
          <cell r="D74" t="str">
            <v>130K</v>
          </cell>
          <cell r="E74">
            <v>1.5</v>
          </cell>
          <cell r="F74">
            <v>0.02</v>
          </cell>
        </row>
        <row r="75">
          <cell r="A75" t="str">
            <v>네이버&gt;이야기&gt;카페&gt;&gt;카페내 배너(175x130)</v>
          </cell>
          <cell r="B75">
            <v>262413357</v>
          </cell>
          <cell r="C75" t="str">
            <v>175*130</v>
          </cell>
          <cell r="D75" t="str">
            <v>130K</v>
          </cell>
          <cell r="E75">
            <v>1.5</v>
          </cell>
          <cell r="F75">
            <v>0.05</v>
          </cell>
        </row>
        <row r="76">
          <cell r="A76" t="str">
            <v>네이버&gt;이야기&gt;카페&gt;카페서브&gt;&gt;우측 배너(160x400)</v>
          </cell>
          <cell r="B76">
            <v>2472807</v>
          </cell>
          <cell r="C76" t="str">
            <v>160*400</v>
          </cell>
          <cell r="D76" t="str">
            <v>130K</v>
          </cell>
          <cell r="E76">
            <v>1.5</v>
          </cell>
          <cell r="F76">
            <v>0.08</v>
          </cell>
        </row>
        <row r="77">
          <cell r="A77" t="str">
            <v>네이버&gt;이야기&gt;카페&gt;카페홈&gt;&gt;우측 배너(240x240)</v>
          </cell>
          <cell r="B77">
            <v>76240319</v>
          </cell>
          <cell r="C77" t="str">
            <v>240*240</v>
          </cell>
          <cell r="D77" t="str">
            <v>130K</v>
          </cell>
          <cell r="E77">
            <v>3</v>
          </cell>
          <cell r="F77">
            <v>0.03</v>
          </cell>
        </row>
        <row r="78">
          <cell r="A78" t="str">
            <v>네이버&gt;이야기&gt;툰&gt;&gt;우측 배너(240x240)</v>
          </cell>
          <cell r="B78">
            <v>12424421</v>
          </cell>
          <cell r="C78" t="str">
            <v>240*240</v>
          </cell>
          <cell r="D78" t="str">
            <v>130K</v>
          </cell>
          <cell r="E78">
            <v>2</v>
          </cell>
          <cell r="F78">
            <v>0.05</v>
          </cell>
        </row>
        <row r="79">
          <cell r="A79" t="str">
            <v>네이버&gt;이야기&gt;포토&gt;&gt;우측 배너(250x155)</v>
          </cell>
          <cell r="B79">
            <v>2921986</v>
          </cell>
          <cell r="C79" t="str">
            <v>250*155</v>
          </cell>
          <cell r="D79" t="str">
            <v>130K</v>
          </cell>
          <cell r="E79">
            <v>3</v>
          </cell>
          <cell r="F79">
            <v>0.05</v>
          </cell>
        </row>
        <row r="80">
          <cell r="A80" t="str">
            <v>네이버&gt;이야기&gt;포토&gt;포토갤러리&gt;갤러리서브&gt;&gt;좌측 배너(175x130)</v>
          </cell>
          <cell r="B80">
            <v>23020441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0.03</v>
          </cell>
        </row>
        <row r="81">
          <cell r="A81" t="str">
            <v>네이버&gt;이야기&gt;포토&gt;포토갤러리&gt;갤러리홈&gt;&gt;좌측 배너(175x50)</v>
          </cell>
          <cell r="B81">
            <v>547503</v>
          </cell>
          <cell r="C81" t="str">
            <v>175*50</v>
          </cell>
          <cell r="D81" t="str">
            <v>130K</v>
          </cell>
          <cell r="E81">
            <v>1.5</v>
          </cell>
          <cell r="F81">
            <v>0.01</v>
          </cell>
        </row>
        <row r="82">
          <cell r="A82" t="str">
            <v>네이버&gt;이야기&gt;포토&gt;포토갤러리&gt;슬라이드쇼&gt;&gt;중앙 배너(550x365)</v>
          </cell>
          <cell r="B82">
            <v>13019</v>
          </cell>
          <cell r="C82" t="str">
            <v>550*365</v>
          </cell>
          <cell r="D82" t="str">
            <v>130K</v>
          </cell>
          <cell r="E82">
            <v>2</v>
          </cell>
          <cell r="F82">
            <v>0.52</v>
          </cell>
        </row>
        <row r="83">
          <cell r="A83" t="str">
            <v>네이버&gt;이야기&gt;포토&gt;포토앨범&gt;앨범서브&gt;&gt;우측 배너(148x600)</v>
          </cell>
          <cell r="B83">
            <v>130930289</v>
          </cell>
          <cell r="C83" t="str">
            <v>148*600</v>
          </cell>
          <cell r="D83" t="str">
            <v>130K</v>
          </cell>
          <cell r="E83">
            <v>1.5</v>
          </cell>
          <cell r="F83">
            <v>0.05</v>
          </cell>
        </row>
        <row r="84">
          <cell r="A84" t="str">
            <v>네이버&gt;이야기&gt;포토&gt;포토앨범&gt;앨범슬라이드&gt;&gt;좌측 배너(170x180)</v>
          </cell>
          <cell r="B84">
            <v>1110565</v>
          </cell>
          <cell r="C84" t="str">
            <v>170*180</v>
          </cell>
          <cell r="D84" t="str">
            <v>130K</v>
          </cell>
          <cell r="E84">
            <v>1.5</v>
          </cell>
          <cell r="F84">
            <v>0.17</v>
          </cell>
        </row>
        <row r="85">
          <cell r="A85" t="str">
            <v>네이버&gt;이야기&gt;플레이&gt;&gt;우측 배너(240x240)</v>
          </cell>
          <cell r="B85">
            <v>19712601</v>
          </cell>
          <cell r="C85" t="str">
            <v>240*240</v>
          </cell>
          <cell r="D85" t="str">
            <v>130K</v>
          </cell>
          <cell r="E85">
            <v>3</v>
          </cell>
          <cell r="F85">
            <v>0.16</v>
          </cell>
        </row>
        <row r="86">
          <cell r="A86" t="str">
            <v>네이버&gt;정보&gt;취업&gt;&gt;우측 배너(240x240)</v>
          </cell>
          <cell r="B86">
            <v>15745002</v>
          </cell>
          <cell r="C86" t="str">
            <v>148*600</v>
          </cell>
          <cell r="D86" t="str">
            <v>130K</v>
          </cell>
          <cell r="E86">
            <v>1.5</v>
          </cell>
          <cell r="F86">
            <v>0.04</v>
          </cell>
        </row>
        <row r="87">
          <cell r="A87" t="str">
            <v>네이버&gt;정보&gt;취업&gt;커뮤니티 게시판&gt;&gt;우측 배너(148x600)</v>
          </cell>
          <cell r="B87">
            <v>997525</v>
          </cell>
          <cell r="C87" t="str">
            <v>240*240</v>
          </cell>
          <cell r="D87" t="str">
            <v>130K</v>
          </cell>
          <cell r="E87">
            <v>2</v>
          </cell>
          <cell r="F87">
            <v>0.05</v>
          </cell>
        </row>
        <row r="88">
          <cell r="A88" t="str">
            <v>쥬니버&gt;&gt;서비스_우측 배너(100x400)</v>
          </cell>
          <cell r="B88">
            <v>1363998205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0.22</v>
          </cell>
        </row>
        <row r="89">
          <cell r="A89" t="str">
            <v>쥬니버&gt;검색&gt;&gt;우측배너(148x600)</v>
          </cell>
          <cell r="B89">
            <v>24043648</v>
          </cell>
          <cell r="C89" t="str">
            <v>100*400</v>
          </cell>
          <cell r="D89" t="str">
            <v>130K</v>
          </cell>
          <cell r="E89">
            <v>1</v>
          </cell>
          <cell r="F89">
            <v>0.28999999999999998</v>
          </cell>
        </row>
        <row r="90">
          <cell r="A90" t="str">
            <v>쥬니버&gt;쥬니버홈&gt;&gt;TI(555x320)</v>
          </cell>
          <cell r="B90" t="str">
            <v>-</v>
          </cell>
          <cell r="C90" t="str">
            <v>555*320</v>
          </cell>
          <cell r="D90" t="str">
            <v>150K</v>
          </cell>
          <cell r="E90">
            <v>10000000</v>
          </cell>
          <cell r="F90">
            <v>1.4</v>
          </cell>
        </row>
        <row r="91">
          <cell r="A91" t="str">
            <v>쥬니버&gt;쥬니버홈&gt;&gt;우측 배너(195x150)</v>
          </cell>
          <cell r="B91">
            <v>112058771</v>
          </cell>
          <cell r="C91" t="str">
            <v>195*150</v>
          </cell>
          <cell r="D91" t="str">
            <v>130K</v>
          </cell>
          <cell r="E91">
            <v>2</v>
          </cell>
          <cell r="F91">
            <v>0.28000000000000003</v>
          </cell>
        </row>
        <row r="92">
          <cell r="A92" t="str">
            <v>쥬니버&gt;쥬니버홈&gt;&gt;좌측 여백(85x145)</v>
          </cell>
          <cell r="B92">
            <v>89645603</v>
          </cell>
          <cell r="C92" t="str">
            <v>85*145</v>
          </cell>
          <cell r="D92" t="str">
            <v>130K</v>
          </cell>
          <cell r="E92">
            <v>1.5</v>
          </cell>
          <cell r="F92">
            <v>0.17</v>
          </cell>
        </row>
        <row r="93">
          <cell r="A93" t="str">
            <v>페이지그룹&gt;&gt;검색+사전(240x240)</v>
          </cell>
          <cell r="B93">
            <v>219605859</v>
          </cell>
          <cell r="C93" t="str">
            <v>240*240</v>
          </cell>
          <cell r="D93" t="str">
            <v>130K</v>
          </cell>
          <cell r="E93">
            <v>2</v>
          </cell>
          <cell r="F93">
            <v>0.12</v>
          </cell>
        </row>
        <row r="94">
          <cell r="A94" t="str">
            <v>페이지그룹&gt;&gt;네이버_내PC_우측배너(200x200)</v>
          </cell>
          <cell r="B94">
            <v>42936389</v>
          </cell>
          <cell r="C94" t="str">
            <v>200*200</v>
          </cell>
          <cell r="D94" t="str">
            <v>130K</v>
          </cell>
          <cell r="E94">
            <v>1.5</v>
          </cell>
          <cell r="F94">
            <v>0</v>
          </cell>
        </row>
        <row r="95">
          <cell r="A95" t="str">
            <v>페이지그룹&gt;&gt;네이버_빅보드(350x300)</v>
          </cell>
          <cell r="B95">
            <v>65294803</v>
          </cell>
          <cell r="C95" t="str">
            <v>350*300</v>
          </cell>
          <cell r="D95" t="str">
            <v>150K</v>
          </cell>
          <cell r="E95">
            <v>4</v>
          </cell>
          <cell r="F95">
            <v>0.24</v>
          </cell>
        </row>
        <row r="96">
          <cell r="A96" t="str">
            <v>페이지그룹&gt;&gt;여성(160x400)</v>
          </cell>
          <cell r="B96">
            <v>27068121</v>
          </cell>
          <cell r="C96" t="str">
            <v>160*400</v>
          </cell>
          <cell r="D96" t="str">
            <v>130K</v>
          </cell>
          <cell r="E96">
            <v>3</v>
          </cell>
          <cell r="F96">
            <v>0.06</v>
          </cell>
        </row>
        <row r="97">
          <cell r="A97" t="str">
            <v>페이지그룹&gt;&gt;여성텍스트</v>
          </cell>
          <cell r="B97">
            <v>9431397</v>
          </cell>
          <cell r="C97" t="str">
            <v>25/33자</v>
          </cell>
          <cell r="D97" t="str">
            <v>-</v>
          </cell>
          <cell r="E97">
            <v>0.5</v>
          </cell>
          <cell r="F97">
            <v>0.02</v>
          </cell>
        </row>
        <row r="98">
          <cell r="A98" t="str">
            <v>페이지그룹&gt;&gt;여행, 레저(160x400)</v>
          </cell>
          <cell r="B98">
            <v>23738606</v>
          </cell>
          <cell r="C98" t="str">
            <v>160*400</v>
          </cell>
          <cell r="D98" t="str">
            <v>130K</v>
          </cell>
          <cell r="E98">
            <v>3</v>
          </cell>
          <cell r="F98">
            <v>0.08</v>
          </cell>
        </row>
        <row r="99">
          <cell r="A99" t="str">
            <v>페이지그룹&gt;&gt;정보(240x240)</v>
          </cell>
          <cell r="B99">
            <v>7824292</v>
          </cell>
          <cell r="C99" t="str">
            <v>240*240</v>
          </cell>
          <cell r="D99" t="str">
            <v>130K</v>
          </cell>
          <cell r="E99">
            <v>1.5</v>
          </cell>
          <cell r="F99">
            <v>0.04</v>
          </cell>
        </row>
        <row r="100">
          <cell r="A100" t="str">
            <v>페이지그룹&gt;&gt;정보+도구(148x600)</v>
          </cell>
          <cell r="B100">
            <v>50639486</v>
          </cell>
          <cell r="C100" t="str">
            <v>148*600</v>
          </cell>
          <cell r="D100" t="str">
            <v>130K</v>
          </cell>
          <cell r="E100">
            <v>1.5</v>
          </cell>
          <cell r="F100">
            <v>0.04</v>
          </cell>
        </row>
        <row r="101">
          <cell r="A101" t="str">
            <v>페이지그룹&gt;&gt;커뮤니티 2.0(240x240)</v>
          </cell>
          <cell r="B101">
            <v>32412519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0.05</v>
          </cell>
        </row>
        <row r="102">
          <cell r="A102" t="str">
            <v>페이지그룹&gt;&gt;커뮤니티서브(175x130)</v>
          </cell>
          <cell r="B102">
            <v>612104400</v>
          </cell>
          <cell r="C102" t="str">
            <v>175*130</v>
          </cell>
          <cell r="D102" t="str">
            <v>130K</v>
          </cell>
          <cell r="E102">
            <v>1.5</v>
          </cell>
          <cell r="F102">
            <v>0.04</v>
          </cell>
        </row>
        <row r="103">
          <cell r="A103" t="str">
            <v>페이지그룹&gt;&gt;커뮤니티우측(148x600)</v>
          </cell>
          <cell r="B103">
            <v>135493716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0.06</v>
          </cell>
        </row>
        <row r="104">
          <cell r="A104" t="str">
            <v>페이지그룹&gt;&gt;커뮤니티좌측(175x50)</v>
          </cell>
          <cell r="B104">
            <v>171358632</v>
          </cell>
          <cell r="C104" t="str">
            <v>175*50</v>
          </cell>
          <cell r="D104" t="str">
            <v>130K</v>
          </cell>
          <cell r="E104">
            <v>1.5</v>
          </cell>
          <cell r="F104">
            <v>0.03</v>
          </cell>
        </row>
        <row r="105">
          <cell r="A105" t="str">
            <v>페이지그룹&gt;&gt;커뮤니티탑(240x240)</v>
          </cell>
          <cell r="B105">
            <v>123937885</v>
          </cell>
          <cell r="C105" t="str">
            <v>240*240</v>
          </cell>
          <cell r="D105" t="str">
            <v>130K</v>
          </cell>
          <cell r="E105">
            <v>3</v>
          </cell>
          <cell r="F105">
            <v>0.03</v>
          </cell>
        </row>
        <row r="106">
          <cell r="A106" t="str">
            <v>페이지그룹&gt;&gt;커뮤니티탑(250x155)</v>
          </cell>
          <cell r="B106">
            <v>215321093</v>
          </cell>
          <cell r="C106" t="str">
            <v>250*155</v>
          </cell>
          <cell r="D106" t="str">
            <v>130K</v>
          </cell>
          <cell r="E106">
            <v>3</v>
          </cell>
          <cell r="F106">
            <v>0.04</v>
          </cell>
        </row>
        <row r="107">
          <cell r="A107" t="str">
            <v>페이지그룹&gt;&gt;한게임_빅보드(350x300)</v>
          </cell>
          <cell r="B107">
            <v>42188164</v>
          </cell>
          <cell r="C107" t="str">
            <v>350*300</v>
          </cell>
          <cell r="D107" t="str">
            <v>150K</v>
          </cell>
          <cell r="E107">
            <v>4</v>
          </cell>
          <cell r="F107">
            <v>0.46</v>
          </cell>
        </row>
        <row r="108">
          <cell r="A108" t="str">
            <v>한게임&gt;로그인&gt;&gt;빅보드(350x300)</v>
          </cell>
          <cell r="B108">
            <v>42188164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0.43</v>
          </cell>
        </row>
        <row r="109">
          <cell r="A109" t="str">
            <v>한게임&gt;일반게임_SS&gt;&gt;우측 배너(250x100)</v>
          </cell>
          <cell r="B109">
            <v>89546726</v>
          </cell>
          <cell r="C109" t="str">
            <v>148*600</v>
          </cell>
          <cell r="D109" t="str">
            <v>130K</v>
          </cell>
          <cell r="E109">
            <v>1.5</v>
          </cell>
          <cell r="F109">
            <v>0.26</v>
          </cell>
        </row>
        <row r="110">
          <cell r="A110" t="str">
            <v>한게임&gt;클라이언트&gt;&gt;하단 배너(790x60)</v>
          </cell>
          <cell r="B110">
            <v>771069801</v>
          </cell>
          <cell r="C110" t="str">
            <v>790*60</v>
          </cell>
          <cell r="D110" t="str">
            <v>50K</v>
          </cell>
          <cell r="E110">
            <v>1.5</v>
          </cell>
          <cell r="F110">
            <v>0.06</v>
          </cell>
        </row>
        <row r="111">
          <cell r="A111" t="str">
            <v>한게임&gt;한게임홈&gt;&gt;우측 배너(200x200)</v>
          </cell>
          <cell r="B111">
            <v>79869437</v>
          </cell>
          <cell r="C111" t="str">
            <v>200*200</v>
          </cell>
          <cell r="D111" t="str">
            <v>130K</v>
          </cell>
          <cell r="E111">
            <v>2</v>
          </cell>
          <cell r="F111">
            <v>0.15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월간일정표"/>
      <sheetName val="NHN.Media Proposal.nhn.ver1.5"/>
      <sheetName val="MediaMix"/>
      <sheetName val="엔미즈_코리아"/>
      <sheetName val="Sheet1"/>
      <sheetName val="인원_20001101"/>
      <sheetName val="코드"/>
      <sheetName val="media_mix"/>
      <sheetName val="견적서"/>
      <sheetName val="기타"/>
      <sheetName val="용역단가기준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0</v>
          </cell>
        </row>
      </sheetData>
      <sheetData sheetId="27"/>
      <sheetData sheetId="28">
        <row r="2">
          <cell r="A2">
            <v>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  <sheetName val="Graph"/>
      <sheetName val="Code"/>
      <sheetName val="2011년 Movie DB"/>
      <sheetName val="견적서"/>
      <sheetName val="기타"/>
      <sheetName val="용역단가기준"/>
      <sheetName val="03동일자별"/>
      <sheetName val="주간남10대순위1"/>
      <sheetName val="주간여30대순위1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2011년_Movie_DB"/>
      <sheetName val="시장"/>
      <sheetName val="캔개발배경"/>
      <sheetName val="일정표"/>
      <sheetName val="flatpricebycountry"/>
      <sheetName val="slopes"/>
      <sheetName val="Unit Price"/>
      <sheetName val="카테고리 분류"/>
      <sheetName val="Campaign_Booking1"/>
      <sheetName val="1_온게임넷1"/>
      <sheetName val="2_바둑TV1"/>
      <sheetName val="3_SKY바둑1"/>
      <sheetName val="4_FSTV1"/>
      <sheetName val="5_투니버스1"/>
      <sheetName val="6_애니맥스1"/>
      <sheetName val="7_스페이스툰1"/>
      <sheetName val="8_대교플러스1"/>
      <sheetName val="9_엠플렉스1"/>
      <sheetName val="10_QOOK+1"/>
      <sheetName val="11_토마토TV1"/>
      <sheetName val="12_한방건강TV1"/>
      <sheetName val="13_푸드TV1"/>
      <sheetName val="14_C3TV1"/>
      <sheetName val="15_채널S1"/>
      <sheetName val="16_브레인TV1"/>
      <sheetName val="17_텔레노벨라1"/>
      <sheetName val="18_히어로TV1"/>
      <sheetName val="편성_파일1"/>
      <sheetName val="2011년_Movie_DB1"/>
      <sheetName val="channel_shceduler_1005_주간편성"/>
      <sheetName val="11월 요약"/>
      <sheetName val="初期値"/>
      <sheetName val="첨부1"/>
      <sheetName val="Sheet3"/>
      <sheetName val="원본"/>
      <sheetName val="1-1. 자료연결"/>
      <sheetName val="bulk_data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>
        <row r="3">
          <cell r="C3" t="str">
            <v>경품 택배 배송비</v>
          </cell>
        </row>
      </sheetData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  <sheetName val="그래프 (2)"/>
      <sheetName val="종합표"/>
      <sheetName val="이자율"/>
      <sheetName val="연평잔"/>
      <sheetName val="채널"/>
      <sheetName val="새로운_원가"/>
      <sheetName val="그래프_(2)"/>
      <sheetName val="새로운_원가1"/>
      <sheetName val="그래프_(2)1"/>
      <sheetName val="엔미즈_코리아"/>
      <sheetName val="2011년 movie db"/>
      <sheetName val="2"/>
      <sheetName val="hide"/>
      <sheetName val="전체단가표"/>
      <sheetName val="품종별월계"/>
      <sheetName val="fursys"/>
      <sheetName val="손익"/>
      <sheetName val="이익영"/>
      <sheetName val="양식(직판용)"/>
      <sheetName val="평가"/>
      <sheetName val="4급"/>
      <sheetName val="2.대상자"/>
      <sheetName val="시장"/>
      <sheetName val="캔개발배경"/>
      <sheetName val="일정표"/>
      <sheetName val="영국에서 오는놈을위해서"/>
      <sheetName val="위스키3"/>
      <sheetName val="주류전체2"/>
      <sheetName val="코드"/>
      <sheetName val="견적서"/>
      <sheetName val="당월손익계산서★"/>
      <sheetName val="2010년 라인업"/>
      <sheetName val="카테고리 분류"/>
      <sheetName val="Graph"/>
      <sheetName val="캠페인_일별리포트"/>
      <sheetName val="새로운_원가2"/>
      <sheetName val="그래프_(2)2"/>
      <sheetName val="2011년_movie_db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집행현황"/>
      <sheetName val="실적"/>
      <sheetName val="아침햇쌀"/>
      <sheetName val="참고"/>
      <sheetName val="양식(직판용)"/>
      <sheetName val="96월별PL"/>
      <sheetName val="BackData"/>
      <sheetName val="97손익"/>
      <sheetName val="98손익"/>
      <sheetName val="위스키3"/>
      <sheetName val="주류전체2"/>
      <sheetName val="S1.1총괄"/>
      <sheetName val="장기판매계획"/>
      <sheetName val="금액중량"/>
      <sheetName val="단가"/>
      <sheetName val="npv"/>
      <sheetName val="@제조원가"/>
      <sheetName val="점공통경비배부"/>
      <sheetName val="0.0ControlSheet"/>
      <sheetName val="매출속보"/>
      <sheetName val="준비"/>
      <sheetName val="신공항A-9(원가수정)"/>
      <sheetName val="주간계획"/>
      <sheetName val="밧데리"/>
      <sheetName val="과6"/>
      <sheetName val="할당"/>
      <sheetName val="일일근태 (2003-9(1))"/>
      <sheetName val="협조"/>
      <sheetName val="외화계약"/>
      <sheetName val="#REF"/>
      <sheetName val="부서실적"/>
      <sheetName val="호칭"/>
      <sheetName val="주문"/>
      <sheetName val="공동"/>
      <sheetName val="Sheet1"/>
      <sheetName val="당월손익계산서★"/>
      <sheetName val="손익(10월)"/>
      <sheetName val="물량투입계획"/>
      <sheetName val="보고"/>
      <sheetName val="대전전제"/>
      <sheetName val="대차대조표-공시형"/>
      <sheetName val="개발실"/>
      <sheetName val="부문별재고 (상품)"/>
      <sheetName val="①매출"/>
      <sheetName val="99손익"/>
      <sheetName val="3부손익당월"/>
      <sheetName val="회차별합계"/>
      <sheetName val="현금흐름표"/>
      <sheetName val="12월달"/>
      <sheetName val="갑지"/>
      <sheetName val="원가,목표"/>
      <sheetName val="S1_1총괄"/>
      <sheetName val="0_0ControlSheet"/>
      <sheetName val="일일근태_(2003-9(1))"/>
      <sheetName val="YOEMAGUM"/>
      <sheetName val="45,46"/>
      <sheetName val="년간업무"/>
      <sheetName val="9-1차이내역"/>
      <sheetName val="경비_물류기획"/>
      <sheetName val="부문별재고_(상품)"/>
      <sheetName val="S1_1총괄1"/>
      <sheetName val="0_0ControlSheet1"/>
      <sheetName val="일일근태_(2003-9(1))1"/>
      <sheetName val="재공실사분석"/>
      <sheetName val="FG"/>
      <sheetName val="97년추정손익계산서"/>
      <sheetName val="회사정보"/>
      <sheetName val="할빙수"/>
      <sheetName val="list price"/>
      <sheetName val="송산(직)"/>
      <sheetName val="반금(위)"/>
      <sheetName val="연교(위)"/>
      <sheetName val="안산(직)"/>
      <sheetName val="장춘(직)"/>
      <sheetName val="신규(위)"/>
      <sheetName val="4.경비 5.영업외수지"/>
      <sheetName val="일일근태_(2003-Ĺ(1))"/>
      <sheetName val="영업.일1"/>
      <sheetName val="내역"/>
      <sheetName val="AR"/>
      <sheetName val="호프"/>
      <sheetName val="수입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단기차입금"/>
      <sheetName val="대구역사"/>
      <sheetName val="점별(추정)"/>
      <sheetName val="퇴직율"/>
      <sheetName val="연습"/>
      <sheetName val="캔판매목표"/>
      <sheetName val="급여인상효과-연간부담분"/>
      <sheetName val="영업사원입력"/>
      <sheetName val="당년실적"/>
      <sheetName val="대차대조표"/>
      <sheetName val="depo-1"/>
      <sheetName val="영화별rawdata"/>
      <sheetName val="01.02월 성과급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부문별재고_(상품)1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실적피벗"/>
      <sheetName val="원본DB"/>
      <sheetName val="선택과정 미수료자"/>
      <sheetName val="의무과정 미수료자"/>
      <sheetName val="외주가공비0109"/>
      <sheetName val="칙촉"/>
      <sheetName val="경쟁사가격"/>
      <sheetName val="손익"/>
      <sheetName val="월별일수"/>
      <sheetName val="유림총괄"/>
      <sheetName val="임원,관리,별도"/>
      <sheetName val="현대물량"/>
      <sheetName val="명세"/>
      <sheetName val="탄산"/>
      <sheetName val="차량별점검"/>
      <sheetName val="입력"/>
      <sheetName val="N賃率-職"/>
      <sheetName val="05년점포별계획"/>
      <sheetName val="당년사별실적"/>
      <sheetName val="특판인센기초11"/>
      <sheetName val="그래프 (2)"/>
      <sheetName val="A1"/>
      <sheetName val="종합표"/>
      <sheetName val="★단가표★"/>
      <sheetName val="내역서"/>
      <sheetName val="캔판매가"/>
      <sheetName val="Sheet3"/>
      <sheetName val="@생산실적"/>
      <sheetName val="@인원"/>
      <sheetName val="99성력화(우선순위)"/>
      <sheetName val="model master"/>
      <sheetName val="Sheet12"/>
      <sheetName val="총괄"/>
      <sheetName val="스낵물량"/>
      <sheetName val="팀별"/>
      <sheetName val="부품"/>
      <sheetName val="2001Org"/>
      <sheetName val="실적(월간)"/>
      <sheetName val="1-2"/>
      <sheetName val="일반"/>
      <sheetName val="간부대상"/>
      <sheetName val="영업-차량운반구"/>
      <sheetName val="판매가격(정리)"/>
      <sheetName val="Total"/>
      <sheetName val="견적서"/>
      <sheetName val="예총"/>
      <sheetName val="신계좌부여"/>
      <sheetName val="월,누계 (2)"/>
      <sheetName val="PR제조"/>
      <sheetName val="⑤항목별2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계획표지"/>
      <sheetName val="매장구분"/>
      <sheetName val="유"/>
      <sheetName val="code"/>
      <sheetName val="나뚜루기초"/>
      <sheetName val="공사비집계"/>
      <sheetName val="단가현황"/>
      <sheetName val="리포트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1E0596-A34B-4ECA-85F9-7F5556AA5EA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6805414-3353-42f5-a044-cd7a2586f3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011E-45EB-43A6-8432-04918B99D2E7}">
  <sheetPr>
    <tabColor rgb="FFC00000"/>
  </sheetPr>
  <dimension ref="A1:Q217"/>
  <sheetViews>
    <sheetView tabSelected="1" zoomScaleNormal="100" workbookViewId="0">
      <selection activeCell="Q6" sqref="Q6"/>
    </sheetView>
  </sheetViews>
  <sheetFormatPr defaultRowHeight="15.6" x14ac:dyDescent="0.4"/>
  <cols>
    <col min="1" max="1" width="11.09765625" style="1" bestFit="1" customWidth="1"/>
    <col min="2" max="2" width="10.296875" style="1" customWidth="1"/>
    <col min="3" max="3" width="18.59765625" style="1" customWidth="1"/>
    <col min="4" max="4" width="24.59765625" style="1" customWidth="1"/>
    <col min="5" max="5" width="10.796875" style="1" customWidth="1"/>
    <col min="6" max="6" width="9.3984375" style="1" customWidth="1"/>
    <col min="7" max="9" width="8.8984375" style="1" bestFit="1" customWidth="1"/>
    <col min="10" max="10" width="9.296875" style="1" customWidth="1"/>
    <col min="11" max="11" width="8.8984375" style="1" bestFit="1" customWidth="1"/>
    <col min="12" max="12" width="9.8984375" style="1" bestFit="1" customWidth="1"/>
    <col min="13" max="16384" width="8.796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</v>
      </c>
      <c r="H1" s="1" t="s">
        <v>4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34</v>
      </c>
      <c r="N1" s="1" t="s">
        <v>35</v>
      </c>
      <c r="O1" s="1" t="s">
        <v>36</v>
      </c>
      <c r="P1" s="1" t="s">
        <v>33</v>
      </c>
      <c r="Q1" s="1" t="s">
        <v>32</v>
      </c>
    </row>
    <row r="2" spans="1:17" x14ac:dyDescent="0.4">
      <c r="A2" s="2">
        <v>46240</v>
      </c>
      <c r="B2" s="1" t="s">
        <v>10</v>
      </c>
      <c r="C2" s="1" t="s">
        <v>11</v>
      </c>
      <c r="D2" s="1" t="s">
        <v>38</v>
      </c>
      <c r="E2" s="7">
        <v>1490524.3209096671</v>
      </c>
      <c r="F2" s="4">
        <v>3</v>
      </c>
      <c r="G2" s="4">
        <v>9</v>
      </c>
      <c r="H2" s="4">
        <v>9</v>
      </c>
      <c r="I2" s="4">
        <v>3</v>
      </c>
      <c r="J2" s="4">
        <v>70000</v>
      </c>
      <c r="K2" s="4">
        <v>2</v>
      </c>
      <c r="L2" s="4">
        <v>40000</v>
      </c>
      <c r="M2" s="5">
        <f t="shared" ref="M2:M21" si="0">IFERROR(H2/G2,0)</f>
        <v>1</v>
      </c>
      <c r="N2" s="5">
        <f t="shared" ref="N2:N21" si="1">IFERROR(G2/F2,0)</f>
        <v>3</v>
      </c>
      <c r="O2" s="5">
        <f t="shared" ref="O2:O21" si="2">IFERROR(I2/H2,0)</f>
        <v>0.33333333333333331</v>
      </c>
      <c r="P2" s="3">
        <f t="shared" ref="P2:P21" si="3">IFERROR(E2/G2,0)</f>
        <v>165613.81343440746</v>
      </c>
      <c r="Q2" s="6">
        <f t="shared" ref="Q2:Q21" si="4">IFERROR(J2*12/E2,0)</f>
        <v>0.56356007628734828</v>
      </c>
    </row>
    <row r="3" spans="1:17" x14ac:dyDescent="0.4">
      <c r="A3" s="2">
        <v>46240</v>
      </c>
      <c r="B3" s="1" t="s">
        <v>8</v>
      </c>
      <c r="C3" s="1" t="s">
        <v>9</v>
      </c>
      <c r="D3" s="1" t="s">
        <v>56</v>
      </c>
      <c r="E3" s="7">
        <v>106944.44444444455</v>
      </c>
      <c r="F3" s="4">
        <v>2</v>
      </c>
      <c r="G3" s="4">
        <v>1</v>
      </c>
      <c r="H3" s="4">
        <v>1</v>
      </c>
      <c r="I3" s="4"/>
      <c r="J3" s="4"/>
      <c r="K3" s="4"/>
      <c r="L3" s="4"/>
      <c r="M3" s="5">
        <f t="shared" si="0"/>
        <v>1</v>
      </c>
      <c r="N3" s="5">
        <f t="shared" si="1"/>
        <v>0.5</v>
      </c>
      <c r="O3" s="5">
        <f t="shared" si="2"/>
        <v>0</v>
      </c>
      <c r="P3" s="3">
        <f t="shared" si="3"/>
        <v>106944.44444444455</v>
      </c>
      <c r="Q3" s="6">
        <f t="shared" si="4"/>
        <v>0</v>
      </c>
    </row>
    <row r="4" spans="1:17" x14ac:dyDescent="0.4">
      <c r="A4" s="2">
        <v>46240</v>
      </c>
      <c r="B4" s="1" t="s">
        <v>12</v>
      </c>
      <c r="C4" s="1" t="s">
        <v>13</v>
      </c>
      <c r="D4" s="1" t="s">
        <v>56</v>
      </c>
      <c r="E4" s="7">
        <v>106944.44444444455</v>
      </c>
      <c r="F4" s="4">
        <v>2</v>
      </c>
      <c r="G4" s="4"/>
      <c r="H4" s="4"/>
      <c r="I4" s="4"/>
      <c r="J4" s="4"/>
      <c r="K4" s="4"/>
      <c r="L4" s="4"/>
      <c r="M4" s="5">
        <f t="shared" si="0"/>
        <v>0</v>
      </c>
      <c r="N4" s="5">
        <f t="shared" si="1"/>
        <v>0</v>
      </c>
      <c r="O4" s="5">
        <f t="shared" si="2"/>
        <v>0</v>
      </c>
      <c r="P4" s="3">
        <f t="shared" si="3"/>
        <v>0</v>
      </c>
      <c r="Q4" s="6">
        <f t="shared" si="4"/>
        <v>0</v>
      </c>
    </row>
    <row r="5" spans="1:17" x14ac:dyDescent="0.4">
      <c r="A5" s="2">
        <v>46240</v>
      </c>
      <c r="B5" s="1" t="s">
        <v>19</v>
      </c>
      <c r="C5" s="1" t="s">
        <v>25</v>
      </c>
      <c r="D5" s="1" t="s">
        <v>38</v>
      </c>
      <c r="E5" s="7">
        <v>0</v>
      </c>
      <c r="F5" s="4">
        <v>2</v>
      </c>
      <c r="G5" s="4"/>
      <c r="H5" s="4"/>
      <c r="I5" s="4"/>
      <c r="J5" s="4"/>
      <c r="K5" s="4"/>
      <c r="L5" s="4"/>
      <c r="M5" s="5">
        <f t="shared" si="0"/>
        <v>0</v>
      </c>
      <c r="N5" s="5">
        <f t="shared" si="1"/>
        <v>0</v>
      </c>
      <c r="O5" s="5">
        <f t="shared" si="2"/>
        <v>0</v>
      </c>
      <c r="P5" s="3">
        <f t="shared" si="3"/>
        <v>0</v>
      </c>
      <c r="Q5" s="6">
        <f t="shared" si="4"/>
        <v>0</v>
      </c>
    </row>
    <row r="6" spans="1:17" x14ac:dyDescent="0.4">
      <c r="A6" s="2">
        <v>46240</v>
      </c>
      <c r="B6" s="1" t="s">
        <v>39</v>
      </c>
      <c r="C6" s="1" t="s">
        <v>58</v>
      </c>
      <c r="D6" s="1" t="s">
        <v>40</v>
      </c>
      <c r="E6" s="7">
        <v>242830</v>
      </c>
      <c r="F6" s="4">
        <v>9</v>
      </c>
      <c r="G6" s="4">
        <v>3</v>
      </c>
      <c r="H6" s="4">
        <v>2</v>
      </c>
      <c r="I6" s="4">
        <v>1</v>
      </c>
      <c r="J6" s="4">
        <v>20000</v>
      </c>
      <c r="K6" s="4" t="s">
        <v>37</v>
      </c>
      <c r="L6" s="4" t="s">
        <v>37</v>
      </c>
      <c r="M6" s="5">
        <f t="shared" si="0"/>
        <v>0.66666666666666663</v>
      </c>
      <c r="N6" s="5">
        <f t="shared" si="1"/>
        <v>0.33333333333333331</v>
      </c>
      <c r="O6" s="5">
        <f t="shared" si="2"/>
        <v>0.5</v>
      </c>
      <c r="P6" s="3">
        <f t="shared" si="3"/>
        <v>80943.333333333328</v>
      </c>
      <c r="Q6" s="6">
        <f t="shared" si="4"/>
        <v>0.98834575629040888</v>
      </c>
    </row>
    <row r="7" spans="1:17" x14ac:dyDescent="0.4">
      <c r="A7" s="2">
        <v>46240</v>
      </c>
      <c r="B7" s="1" t="s">
        <v>41</v>
      </c>
      <c r="C7" s="1" t="s">
        <v>58</v>
      </c>
      <c r="D7" s="1" t="s">
        <v>42</v>
      </c>
      <c r="E7" s="7">
        <v>134906</v>
      </c>
      <c r="F7" s="4">
        <v>5</v>
      </c>
      <c r="G7" s="4">
        <v>2</v>
      </c>
      <c r="H7" s="4">
        <v>2</v>
      </c>
      <c r="I7" s="4">
        <v>2</v>
      </c>
      <c r="J7" s="4">
        <v>50000</v>
      </c>
      <c r="K7" s="4" t="s">
        <v>37</v>
      </c>
      <c r="L7" s="4" t="s">
        <v>37</v>
      </c>
      <c r="M7" s="5">
        <f t="shared" si="0"/>
        <v>1</v>
      </c>
      <c r="N7" s="5">
        <f t="shared" si="1"/>
        <v>0.4</v>
      </c>
      <c r="O7" s="5">
        <f t="shared" si="2"/>
        <v>1</v>
      </c>
      <c r="P7" s="3">
        <f t="shared" si="3"/>
        <v>67453</v>
      </c>
      <c r="Q7" s="6">
        <f t="shared" si="4"/>
        <v>4.4475412509451022</v>
      </c>
    </row>
    <row r="8" spans="1:17" x14ac:dyDescent="0.4">
      <c r="A8" s="2">
        <v>46240</v>
      </c>
      <c r="B8" s="1" t="s">
        <v>43</v>
      </c>
      <c r="C8" s="1" t="s">
        <v>58</v>
      </c>
      <c r="D8" s="1" t="s">
        <v>44</v>
      </c>
      <c r="E8" s="7">
        <v>188868</v>
      </c>
      <c r="F8" s="4">
        <v>7</v>
      </c>
      <c r="G8" s="4" t="s">
        <v>37</v>
      </c>
      <c r="H8" s="4" t="s">
        <v>37</v>
      </c>
      <c r="I8" s="4" t="s">
        <v>37</v>
      </c>
      <c r="J8" s="4" t="s">
        <v>37</v>
      </c>
      <c r="K8" s="4" t="s">
        <v>37</v>
      </c>
      <c r="L8" s="4" t="s">
        <v>37</v>
      </c>
      <c r="M8" s="5">
        <f t="shared" ref="M8" si="5">IFERROR(H8/G8,0)</f>
        <v>0</v>
      </c>
      <c r="N8" s="5">
        <f t="shared" ref="N8" si="6">IFERROR(G8/F8,0)</f>
        <v>0</v>
      </c>
      <c r="O8" s="5">
        <f t="shared" ref="O8" si="7">IFERROR(I8/H8,0)</f>
        <v>0</v>
      </c>
      <c r="P8" s="3">
        <f t="shared" ref="P8" si="8">IFERROR(E8/G8,0)</f>
        <v>0</v>
      </c>
      <c r="Q8" s="6">
        <f t="shared" ref="Q8" si="9">IFERROR(J8*12/E8,0)</f>
        <v>0</v>
      </c>
    </row>
    <row r="9" spans="1:17" x14ac:dyDescent="0.4">
      <c r="A9" s="2">
        <v>46240</v>
      </c>
      <c r="B9" s="1" t="s">
        <v>45</v>
      </c>
      <c r="C9" s="1" t="s">
        <v>58</v>
      </c>
      <c r="D9" s="1" t="s">
        <v>38</v>
      </c>
      <c r="E9" s="7">
        <v>296792</v>
      </c>
      <c r="F9" s="4">
        <v>11</v>
      </c>
      <c r="G9" s="4">
        <v>1</v>
      </c>
      <c r="H9" s="4">
        <v>1</v>
      </c>
      <c r="I9" s="4" t="s">
        <v>37</v>
      </c>
      <c r="J9" s="4" t="s">
        <v>37</v>
      </c>
      <c r="K9" s="4" t="s">
        <v>37</v>
      </c>
      <c r="L9" s="4" t="s">
        <v>37</v>
      </c>
      <c r="M9" s="5">
        <f t="shared" si="0"/>
        <v>1</v>
      </c>
      <c r="N9" s="5">
        <f t="shared" si="1"/>
        <v>9.0909090909090912E-2</v>
      </c>
      <c r="O9" s="5">
        <f t="shared" si="2"/>
        <v>0</v>
      </c>
      <c r="P9" s="3">
        <f t="shared" si="3"/>
        <v>296792</v>
      </c>
      <c r="Q9" s="6">
        <f t="shared" si="4"/>
        <v>0</v>
      </c>
    </row>
    <row r="10" spans="1:17" x14ac:dyDescent="0.4">
      <c r="A10" s="2">
        <v>46240</v>
      </c>
      <c r="B10" s="1" t="s">
        <v>5</v>
      </c>
      <c r="C10" s="1" t="s">
        <v>58</v>
      </c>
      <c r="D10" s="1" t="s">
        <v>55</v>
      </c>
      <c r="E10" s="7">
        <v>188868</v>
      </c>
      <c r="F10" s="4">
        <v>7</v>
      </c>
      <c r="G10" s="4">
        <v>2</v>
      </c>
      <c r="H10" s="4" t="s">
        <v>37</v>
      </c>
      <c r="I10" s="4" t="s">
        <v>37</v>
      </c>
      <c r="J10" s="4" t="s">
        <v>37</v>
      </c>
      <c r="K10" s="4">
        <v>1</v>
      </c>
      <c r="L10" s="4">
        <v>20000</v>
      </c>
      <c r="M10" s="5">
        <f t="shared" si="0"/>
        <v>0</v>
      </c>
      <c r="N10" s="5">
        <f t="shared" si="1"/>
        <v>0.2857142857142857</v>
      </c>
      <c r="O10" s="5">
        <f t="shared" si="2"/>
        <v>0</v>
      </c>
      <c r="P10" s="3">
        <f t="shared" si="3"/>
        <v>94434</v>
      </c>
      <c r="Q10" s="6">
        <f t="shared" si="4"/>
        <v>0</v>
      </c>
    </row>
    <row r="11" spans="1:17" x14ac:dyDescent="0.4">
      <c r="A11" s="2">
        <v>46240</v>
      </c>
      <c r="B11" s="1" t="s">
        <v>46</v>
      </c>
      <c r="C11" s="1" t="s">
        <v>58</v>
      </c>
      <c r="D11" s="1" t="s">
        <v>57</v>
      </c>
      <c r="E11" s="7">
        <v>188868</v>
      </c>
      <c r="F11" s="4">
        <v>7</v>
      </c>
      <c r="G11" s="4" t="s">
        <v>37</v>
      </c>
      <c r="H11" s="4" t="s">
        <v>37</v>
      </c>
      <c r="I11" s="4" t="s">
        <v>37</v>
      </c>
      <c r="J11" s="4" t="s">
        <v>37</v>
      </c>
      <c r="K11" s="4" t="s">
        <v>37</v>
      </c>
      <c r="L11" s="4" t="s">
        <v>37</v>
      </c>
      <c r="M11" s="5">
        <f t="shared" si="0"/>
        <v>0</v>
      </c>
      <c r="N11" s="5">
        <f t="shared" si="1"/>
        <v>0</v>
      </c>
      <c r="O11" s="5">
        <f t="shared" si="2"/>
        <v>0</v>
      </c>
      <c r="P11" s="3">
        <f t="shared" si="3"/>
        <v>0</v>
      </c>
      <c r="Q11" s="6">
        <f t="shared" si="4"/>
        <v>0</v>
      </c>
    </row>
    <row r="12" spans="1:17" x14ac:dyDescent="0.4">
      <c r="A12" s="2">
        <v>46240</v>
      </c>
      <c r="B12" s="1" t="s">
        <v>20</v>
      </c>
      <c r="C12" s="1" t="s">
        <v>26</v>
      </c>
      <c r="D12" s="1" t="s">
        <v>56</v>
      </c>
      <c r="E12" s="7">
        <v>0</v>
      </c>
      <c r="F12" s="4">
        <v>2</v>
      </c>
      <c r="G12" s="4"/>
      <c r="H12" s="4"/>
      <c r="I12" s="4"/>
      <c r="J12" s="4"/>
      <c r="K12" s="4"/>
      <c r="L12" s="4"/>
      <c r="M12" s="5">
        <f t="shared" si="0"/>
        <v>0</v>
      </c>
      <c r="N12" s="5">
        <f t="shared" si="1"/>
        <v>0</v>
      </c>
      <c r="O12" s="5">
        <f t="shared" si="2"/>
        <v>0</v>
      </c>
      <c r="P12" s="3">
        <f t="shared" si="3"/>
        <v>0</v>
      </c>
      <c r="Q12" s="6">
        <f t="shared" si="4"/>
        <v>0</v>
      </c>
    </row>
    <row r="13" spans="1:17" x14ac:dyDescent="0.4">
      <c r="A13" s="2">
        <v>46240</v>
      </c>
      <c r="B13" s="1" t="s">
        <v>14</v>
      </c>
      <c r="C13" s="1" t="s">
        <v>15</v>
      </c>
      <c r="D13" s="1" t="s">
        <v>40</v>
      </c>
      <c r="E13" s="7">
        <v>251006.71140939597</v>
      </c>
      <c r="F13" s="4">
        <v>5</v>
      </c>
      <c r="G13" s="4"/>
      <c r="H13" s="4"/>
      <c r="I13" s="4"/>
      <c r="J13" s="4"/>
      <c r="K13" s="4"/>
      <c r="L13" s="4"/>
      <c r="M13" s="5">
        <f t="shared" si="0"/>
        <v>0</v>
      </c>
      <c r="N13" s="5">
        <f t="shared" si="1"/>
        <v>0</v>
      </c>
      <c r="O13" s="5">
        <f t="shared" si="2"/>
        <v>0</v>
      </c>
      <c r="P13" s="3">
        <f t="shared" si="3"/>
        <v>0</v>
      </c>
      <c r="Q13" s="6">
        <f t="shared" si="4"/>
        <v>0</v>
      </c>
    </row>
    <row r="14" spans="1:17" x14ac:dyDescent="0.4">
      <c r="A14" s="2">
        <v>46240</v>
      </c>
      <c r="B14" s="1" t="s">
        <v>18</v>
      </c>
      <c r="C14" s="1" t="s">
        <v>27</v>
      </c>
      <c r="D14" s="1" t="s">
        <v>38</v>
      </c>
      <c r="E14" s="7">
        <v>0</v>
      </c>
      <c r="F14" s="4">
        <v>7</v>
      </c>
      <c r="G14" s="4"/>
      <c r="H14" s="4"/>
      <c r="I14" s="4"/>
      <c r="J14" s="4"/>
      <c r="K14" s="4"/>
      <c r="L14" s="4"/>
      <c r="M14" s="5">
        <f t="shared" si="0"/>
        <v>0</v>
      </c>
      <c r="N14" s="5">
        <f t="shared" si="1"/>
        <v>0</v>
      </c>
      <c r="O14" s="5">
        <f t="shared" si="2"/>
        <v>0</v>
      </c>
      <c r="P14" s="3">
        <f t="shared" si="3"/>
        <v>0</v>
      </c>
      <c r="Q14" s="6">
        <f t="shared" si="4"/>
        <v>0</v>
      </c>
    </row>
    <row r="15" spans="1:17" x14ac:dyDescent="0.4">
      <c r="A15" s="2">
        <v>46240</v>
      </c>
      <c r="B15" s="1" t="s">
        <v>16</v>
      </c>
      <c r="C15" s="1" t="s">
        <v>17</v>
      </c>
      <c r="D15" s="1" t="s">
        <v>38</v>
      </c>
      <c r="E15" s="7">
        <v>177419.35483870967</v>
      </c>
      <c r="F15" s="4">
        <v>8</v>
      </c>
      <c r="G15" s="4">
        <v>1</v>
      </c>
      <c r="H15" s="4">
        <v>1</v>
      </c>
      <c r="I15" s="4">
        <v>1</v>
      </c>
      <c r="J15" s="4">
        <v>10000</v>
      </c>
      <c r="K15" s="4"/>
      <c r="L15" s="4"/>
      <c r="M15" s="5">
        <f t="shared" si="0"/>
        <v>1</v>
      </c>
      <c r="N15" s="5">
        <f t="shared" si="1"/>
        <v>0.125</v>
      </c>
      <c r="O15" s="5">
        <f t="shared" si="2"/>
        <v>1</v>
      </c>
      <c r="P15" s="3">
        <f t="shared" si="3"/>
        <v>177419.35483870967</v>
      </c>
      <c r="Q15" s="6">
        <f t="shared" si="4"/>
        <v>0.67636363636363639</v>
      </c>
    </row>
    <row r="16" spans="1:17" x14ac:dyDescent="0.4">
      <c r="A16" s="2">
        <v>46240</v>
      </c>
      <c r="B16" s="1" t="s">
        <v>47</v>
      </c>
      <c r="C16" s="1" t="s">
        <v>48</v>
      </c>
      <c r="D16" s="1" t="s">
        <v>38</v>
      </c>
      <c r="E16" s="7">
        <v>194117.6470588239</v>
      </c>
      <c r="F16" s="4">
        <v>4</v>
      </c>
      <c r="G16" s="4">
        <v>6</v>
      </c>
      <c r="H16" s="4">
        <v>5</v>
      </c>
      <c r="I16" s="4">
        <v>4</v>
      </c>
      <c r="J16" s="4">
        <v>60000</v>
      </c>
      <c r="K16" s="4">
        <v>1</v>
      </c>
      <c r="L16" s="4">
        <v>100000</v>
      </c>
      <c r="M16" s="5">
        <f t="shared" si="0"/>
        <v>0.83333333333333337</v>
      </c>
      <c r="N16" s="5">
        <f t="shared" si="1"/>
        <v>1.5</v>
      </c>
      <c r="O16" s="5">
        <f t="shared" si="2"/>
        <v>0.8</v>
      </c>
      <c r="P16" s="3">
        <f t="shared" si="3"/>
        <v>32352.941176470649</v>
      </c>
      <c r="Q16" s="6">
        <f t="shared" si="4"/>
        <v>3.7090909090909019</v>
      </c>
    </row>
    <row r="17" spans="1:17" x14ac:dyDescent="0.4">
      <c r="A17" s="2">
        <v>46240</v>
      </c>
      <c r="B17" s="1" t="s">
        <v>49</v>
      </c>
      <c r="C17" s="1" t="s">
        <v>50</v>
      </c>
      <c r="D17" s="1" t="s">
        <v>38</v>
      </c>
      <c r="E17" s="7">
        <v>354838.70967741933</v>
      </c>
      <c r="F17" s="4">
        <v>4</v>
      </c>
      <c r="G17" s="4"/>
      <c r="H17" s="4"/>
      <c r="I17" s="4"/>
      <c r="J17" s="4"/>
      <c r="K17" s="4"/>
      <c r="L17" s="4"/>
      <c r="M17" s="5">
        <f t="shared" si="0"/>
        <v>0</v>
      </c>
      <c r="N17" s="5">
        <f t="shared" si="1"/>
        <v>0</v>
      </c>
      <c r="O17" s="5">
        <f t="shared" si="2"/>
        <v>0</v>
      </c>
      <c r="P17" s="3">
        <f t="shared" si="3"/>
        <v>0</v>
      </c>
      <c r="Q17" s="6">
        <f t="shared" si="4"/>
        <v>0</v>
      </c>
    </row>
    <row r="18" spans="1:17" x14ac:dyDescent="0.4">
      <c r="A18" s="2">
        <v>46240</v>
      </c>
      <c r="B18" s="1" t="s">
        <v>51</v>
      </c>
      <c r="C18" s="1" t="s">
        <v>52</v>
      </c>
      <c r="D18" s="1" t="s">
        <v>38</v>
      </c>
      <c r="E18" s="7">
        <v>283870.96774193551</v>
      </c>
      <c r="F18" s="4">
        <v>5</v>
      </c>
      <c r="G18" s="4"/>
      <c r="H18" s="4"/>
      <c r="I18" s="4"/>
      <c r="J18" s="4"/>
      <c r="K18" s="4"/>
      <c r="L18" s="4"/>
      <c r="M18" s="5">
        <f t="shared" si="0"/>
        <v>0</v>
      </c>
      <c r="N18" s="5">
        <f t="shared" si="1"/>
        <v>0</v>
      </c>
      <c r="O18" s="5">
        <f t="shared" si="2"/>
        <v>0</v>
      </c>
      <c r="P18" s="3">
        <f t="shared" si="3"/>
        <v>0</v>
      </c>
      <c r="Q18" s="6">
        <f t="shared" si="4"/>
        <v>0</v>
      </c>
    </row>
    <row r="19" spans="1:17" x14ac:dyDescent="0.4">
      <c r="A19" s="2">
        <v>46240</v>
      </c>
      <c r="B19" s="1" t="s">
        <v>54</v>
      </c>
      <c r="C19" s="1" t="s">
        <v>53</v>
      </c>
      <c r="D19" s="1" t="s">
        <v>38</v>
      </c>
      <c r="E19" s="7">
        <v>149375.33948940795</v>
      </c>
      <c r="F19" s="4">
        <v>5</v>
      </c>
      <c r="G19" s="4"/>
      <c r="H19" s="4"/>
      <c r="I19" s="4"/>
      <c r="J19" s="4"/>
      <c r="K19" s="4"/>
      <c r="L19" s="4"/>
      <c r="M19" s="5">
        <f t="shared" ref="M19" si="10">IFERROR(H19/G19,0)</f>
        <v>0</v>
      </c>
      <c r="N19" s="5">
        <f t="shared" ref="N19" si="11">IFERROR(G19/F19,0)</f>
        <v>0</v>
      </c>
      <c r="O19" s="5">
        <f t="shared" ref="O19" si="12">IFERROR(I19/H19,0)</f>
        <v>0</v>
      </c>
      <c r="P19" s="3">
        <f t="shared" ref="P19" si="13">IFERROR(E19/G19,0)</f>
        <v>0</v>
      </c>
      <c r="Q19" s="6">
        <f t="shared" ref="Q19" si="14">IFERROR(J19*12/E19,0)</f>
        <v>0</v>
      </c>
    </row>
    <row r="20" spans="1:17" x14ac:dyDescent="0.4">
      <c r="A20" s="2">
        <v>46240</v>
      </c>
      <c r="B20" s="1" t="s">
        <v>37</v>
      </c>
      <c r="C20" s="1" t="s">
        <v>28</v>
      </c>
      <c r="D20" s="1" t="s">
        <v>37</v>
      </c>
      <c r="E20" s="7">
        <v>0</v>
      </c>
      <c r="F20" s="4">
        <v>0</v>
      </c>
      <c r="G20" s="4"/>
      <c r="H20" s="4"/>
      <c r="I20" s="4"/>
      <c r="J20" s="4"/>
      <c r="K20" s="4"/>
      <c r="L20" s="4"/>
      <c r="M20" s="5">
        <f t="shared" si="0"/>
        <v>0</v>
      </c>
      <c r="N20" s="5">
        <f t="shared" si="1"/>
        <v>0</v>
      </c>
      <c r="O20" s="5">
        <f t="shared" si="2"/>
        <v>0</v>
      </c>
      <c r="P20" s="3">
        <f t="shared" si="3"/>
        <v>0</v>
      </c>
      <c r="Q20" s="6">
        <f t="shared" si="4"/>
        <v>0</v>
      </c>
    </row>
    <row r="21" spans="1:17" x14ac:dyDescent="0.4">
      <c r="A21" s="2">
        <v>46240</v>
      </c>
      <c r="B21" s="1" t="s">
        <v>6</v>
      </c>
      <c r="C21" s="1" t="s">
        <v>7</v>
      </c>
      <c r="D21" s="1" t="s">
        <v>37</v>
      </c>
      <c r="E21" s="7">
        <v>0</v>
      </c>
      <c r="F21" s="4">
        <v>0</v>
      </c>
      <c r="G21" s="4">
        <v>1</v>
      </c>
      <c r="H21" s="4">
        <v>1</v>
      </c>
      <c r="I21" s="4"/>
      <c r="J21" s="4"/>
      <c r="K21" s="4"/>
      <c r="L21" s="4"/>
      <c r="M21" s="5">
        <f t="shared" si="0"/>
        <v>1</v>
      </c>
      <c r="N21" s="5">
        <f t="shared" si="1"/>
        <v>0</v>
      </c>
      <c r="O21" s="5">
        <f t="shared" si="2"/>
        <v>0</v>
      </c>
      <c r="P21" s="3">
        <f t="shared" si="3"/>
        <v>0</v>
      </c>
      <c r="Q21" s="6">
        <f t="shared" si="4"/>
        <v>0</v>
      </c>
    </row>
    <row r="22" spans="1:17" x14ac:dyDescent="0.4">
      <c r="A22" s="2"/>
      <c r="E22" s="7"/>
      <c r="F22" s="4"/>
      <c r="G22" s="4"/>
      <c r="H22" s="4"/>
      <c r="I22" s="4"/>
      <c r="J22" s="4"/>
      <c r="K22" s="4"/>
      <c r="L22" s="4"/>
      <c r="M22" s="5"/>
      <c r="N22" s="5"/>
      <c r="O22" s="5"/>
      <c r="P22" s="3"/>
      <c r="Q22" s="6"/>
    </row>
    <row r="23" spans="1:17" x14ac:dyDescent="0.4">
      <c r="A23" s="2"/>
      <c r="E23" s="7"/>
      <c r="F23" s="4"/>
      <c r="G23" s="4"/>
      <c r="H23" s="4"/>
      <c r="I23" s="4"/>
      <c r="J23" s="4"/>
      <c r="K23" s="4"/>
      <c r="L23" s="4"/>
      <c r="M23" s="5"/>
      <c r="N23" s="5"/>
      <c r="O23" s="5"/>
      <c r="P23" s="3"/>
      <c r="Q23" s="6"/>
    </row>
    <row r="24" spans="1:17" x14ac:dyDescent="0.4">
      <c r="A24" s="2"/>
      <c r="E24" s="7"/>
      <c r="F24" s="4"/>
      <c r="G24" s="4"/>
      <c r="H24" s="4"/>
      <c r="I24" s="4"/>
      <c r="J24" s="4"/>
      <c r="K24" s="4"/>
      <c r="L24" s="4"/>
      <c r="M24" s="5"/>
      <c r="N24" s="5"/>
      <c r="O24" s="5"/>
      <c r="P24" s="3"/>
      <c r="Q24" s="6"/>
    </row>
    <row r="25" spans="1:17" x14ac:dyDescent="0.4">
      <c r="A25" s="2"/>
      <c r="E25" s="7"/>
      <c r="F25" s="4"/>
      <c r="G25" s="4"/>
      <c r="H25" s="4"/>
      <c r="I25" s="4"/>
      <c r="J25" s="4"/>
      <c r="K25" s="4"/>
      <c r="L25" s="4"/>
      <c r="M25" s="5"/>
      <c r="N25" s="5"/>
      <c r="O25" s="5"/>
      <c r="P25" s="3"/>
      <c r="Q25" s="6"/>
    </row>
    <row r="26" spans="1:17" x14ac:dyDescent="0.4">
      <c r="A26" s="2"/>
      <c r="E26" s="7"/>
      <c r="F26" s="4"/>
      <c r="G26" s="4"/>
      <c r="H26" s="4"/>
      <c r="I26" s="4"/>
      <c r="J26" s="4"/>
      <c r="K26" s="4"/>
      <c r="L26" s="4"/>
      <c r="M26" s="5"/>
      <c r="N26" s="5"/>
      <c r="O26" s="5"/>
      <c r="P26" s="3"/>
      <c r="Q26" s="6"/>
    </row>
    <row r="27" spans="1:17" x14ac:dyDescent="0.4">
      <c r="A27" s="2"/>
      <c r="E27" s="7"/>
      <c r="F27" s="4"/>
      <c r="G27" s="4"/>
      <c r="H27" s="4"/>
      <c r="I27" s="4"/>
      <c r="J27" s="4"/>
      <c r="K27" s="4"/>
      <c r="L27" s="4"/>
      <c r="M27" s="5"/>
      <c r="N27" s="5"/>
      <c r="O27" s="5"/>
      <c r="P27" s="3"/>
      <c r="Q27" s="6"/>
    </row>
    <row r="28" spans="1:17" x14ac:dyDescent="0.4">
      <c r="A28" s="2"/>
      <c r="E28" s="7"/>
      <c r="F28" s="4"/>
      <c r="G28" s="4"/>
      <c r="H28" s="4"/>
      <c r="I28" s="4"/>
      <c r="J28" s="4"/>
      <c r="K28" s="4"/>
      <c r="L28" s="4"/>
      <c r="M28" s="5"/>
      <c r="N28" s="5"/>
      <c r="O28" s="5"/>
      <c r="P28" s="3"/>
      <c r="Q28" s="6"/>
    </row>
    <row r="29" spans="1:17" x14ac:dyDescent="0.4">
      <c r="A29" s="2"/>
      <c r="E29" s="7"/>
      <c r="F29" s="4"/>
      <c r="G29" s="4"/>
      <c r="H29" s="4"/>
      <c r="I29" s="4"/>
      <c r="J29" s="4"/>
      <c r="K29" s="4"/>
      <c r="L29" s="4"/>
      <c r="M29" s="5"/>
      <c r="N29" s="5"/>
      <c r="O29" s="5"/>
      <c r="P29" s="3"/>
      <c r="Q29" s="6"/>
    </row>
    <row r="30" spans="1:17" x14ac:dyDescent="0.4">
      <c r="A30" s="2"/>
      <c r="E30" s="7"/>
      <c r="F30" s="4"/>
      <c r="G30" s="4"/>
      <c r="H30" s="4"/>
      <c r="I30" s="4"/>
      <c r="J30" s="4"/>
      <c r="K30" s="4"/>
      <c r="L30" s="4"/>
      <c r="M30" s="5"/>
      <c r="N30" s="5"/>
      <c r="O30" s="5"/>
      <c r="P30" s="3"/>
      <c r="Q30" s="6"/>
    </row>
    <row r="31" spans="1:17" x14ac:dyDescent="0.4">
      <c r="A31" s="2"/>
      <c r="E31" s="7"/>
      <c r="F31" s="4"/>
      <c r="G31" s="4"/>
      <c r="H31" s="4"/>
      <c r="I31" s="4"/>
      <c r="J31" s="4"/>
      <c r="K31" s="4"/>
      <c r="L31" s="4"/>
      <c r="M31" s="5"/>
      <c r="N31" s="5"/>
      <c r="O31" s="5"/>
      <c r="P31" s="3"/>
      <c r="Q31" s="6"/>
    </row>
    <row r="32" spans="1:17" x14ac:dyDescent="0.4">
      <c r="A32" s="2"/>
      <c r="E32" s="7"/>
      <c r="F32" s="4"/>
      <c r="G32" s="4"/>
      <c r="H32" s="4"/>
      <c r="I32" s="4"/>
      <c r="J32" s="4"/>
      <c r="K32" s="4"/>
      <c r="L32" s="4"/>
      <c r="M32" s="5"/>
      <c r="N32" s="5"/>
      <c r="O32" s="5"/>
      <c r="P32" s="3"/>
      <c r="Q32" s="6"/>
    </row>
    <row r="33" spans="1:17" x14ac:dyDescent="0.4">
      <c r="A33" s="2"/>
      <c r="E33" s="7"/>
      <c r="F33" s="4"/>
      <c r="G33" s="4"/>
      <c r="H33" s="4"/>
      <c r="I33" s="4"/>
      <c r="J33" s="4"/>
      <c r="K33" s="4"/>
      <c r="L33" s="4"/>
      <c r="M33" s="5"/>
      <c r="N33" s="5"/>
      <c r="O33" s="5"/>
      <c r="P33" s="3"/>
      <c r="Q33" s="6"/>
    </row>
    <row r="34" spans="1:17" x14ac:dyDescent="0.4">
      <c r="A34" s="2"/>
      <c r="E34" s="7"/>
      <c r="F34" s="4"/>
      <c r="G34" s="4"/>
      <c r="H34" s="4"/>
      <c r="I34" s="4"/>
      <c r="J34" s="4"/>
      <c r="K34" s="4"/>
      <c r="L34" s="4"/>
      <c r="M34" s="5"/>
      <c r="N34" s="5"/>
      <c r="O34" s="5"/>
      <c r="P34" s="3"/>
      <c r="Q34" s="6"/>
    </row>
    <row r="35" spans="1:17" x14ac:dyDescent="0.4">
      <c r="A35" s="2"/>
      <c r="E35" s="7"/>
      <c r="F35" s="4"/>
      <c r="G35" s="4"/>
      <c r="H35" s="4"/>
      <c r="I35" s="4"/>
      <c r="J35" s="4"/>
      <c r="K35" s="4"/>
      <c r="L35" s="4"/>
      <c r="M35" s="5"/>
      <c r="N35" s="5"/>
      <c r="O35" s="5"/>
      <c r="P35" s="3"/>
      <c r="Q35" s="6"/>
    </row>
    <row r="36" spans="1:17" x14ac:dyDescent="0.4">
      <c r="A36" s="2"/>
      <c r="E36" s="7"/>
      <c r="F36" s="4"/>
      <c r="G36" s="4"/>
      <c r="H36" s="4"/>
      <c r="I36" s="4"/>
      <c r="J36" s="4"/>
      <c r="K36" s="4"/>
      <c r="L36" s="4"/>
      <c r="M36" s="5"/>
      <c r="N36" s="5"/>
      <c r="O36" s="5"/>
      <c r="P36" s="3"/>
      <c r="Q36" s="6"/>
    </row>
    <row r="37" spans="1:17" x14ac:dyDescent="0.4">
      <c r="A37" s="2"/>
      <c r="E37" s="7"/>
      <c r="F37" s="4"/>
      <c r="G37" s="4"/>
      <c r="H37" s="4"/>
      <c r="I37" s="4"/>
      <c r="J37" s="4"/>
      <c r="K37" s="4"/>
      <c r="L37" s="4"/>
      <c r="M37" s="5"/>
      <c r="N37" s="5"/>
      <c r="O37" s="5"/>
      <c r="P37" s="3"/>
      <c r="Q37" s="6"/>
    </row>
    <row r="38" spans="1:17" x14ac:dyDescent="0.4">
      <c r="A38" s="2"/>
      <c r="E38" s="7"/>
      <c r="F38" s="4"/>
      <c r="G38" s="4"/>
      <c r="H38" s="4"/>
      <c r="I38" s="4"/>
      <c r="J38" s="4"/>
      <c r="K38" s="4"/>
      <c r="L38" s="4"/>
      <c r="M38" s="5"/>
      <c r="N38" s="5"/>
      <c r="O38" s="5"/>
      <c r="P38" s="3"/>
      <c r="Q38" s="6"/>
    </row>
    <row r="39" spans="1:17" x14ac:dyDescent="0.4">
      <c r="A39" s="2"/>
      <c r="E39" s="7"/>
      <c r="F39" s="4"/>
      <c r="G39" s="4"/>
      <c r="H39" s="4"/>
      <c r="I39" s="4"/>
      <c r="J39" s="4"/>
      <c r="K39" s="4"/>
      <c r="L39" s="4"/>
      <c r="M39" s="5"/>
      <c r="N39" s="5"/>
      <c r="O39" s="5"/>
      <c r="P39" s="3"/>
      <c r="Q39" s="6"/>
    </row>
    <row r="40" spans="1:17" x14ac:dyDescent="0.4">
      <c r="A40" s="2"/>
      <c r="E40" s="7"/>
      <c r="F40" s="4"/>
      <c r="G40" s="4"/>
      <c r="H40" s="4"/>
      <c r="I40" s="4"/>
      <c r="J40" s="4"/>
      <c r="K40" s="4"/>
      <c r="L40" s="4"/>
      <c r="M40" s="5"/>
      <c r="N40" s="5"/>
      <c r="O40" s="5"/>
      <c r="P40" s="3"/>
      <c r="Q40" s="6"/>
    </row>
    <row r="41" spans="1:17" x14ac:dyDescent="0.4">
      <c r="A41" s="2"/>
      <c r="E41" s="7"/>
      <c r="F41" s="4"/>
      <c r="G41" s="4"/>
      <c r="H41" s="4"/>
      <c r="I41" s="4"/>
      <c r="J41" s="4"/>
      <c r="K41" s="4"/>
      <c r="L41" s="4"/>
      <c r="M41" s="5"/>
      <c r="N41" s="5"/>
      <c r="O41" s="5"/>
      <c r="P41" s="3"/>
      <c r="Q41" s="6"/>
    </row>
    <row r="42" spans="1:17" x14ac:dyDescent="0.4">
      <c r="A42" s="2"/>
      <c r="E42" s="7"/>
      <c r="F42" s="4"/>
      <c r="G42" s="4"/>
      <c r="H42" s="4"/>
      <c r="I42" s="4"/>
      <c r="J42" s="4"/>
      <c r="K42" s="4"/>
      <c r="L42" s="4"/>
      <c r="M42" s="5"/>
      <c r="N42" s="5"/>
      <c r="O42" s="5"/>
      <c r="P42" s="3"/>
      <c r="Q42" s="6"/>
    </row>
    <row r="43" spans="1:17" x14ac:dyDescent="0.4">
      <c r="A43" s="2"/>
      <c r="E43" s="7"/>
      <c r="F43" s="4"/>
      <c r="G43" s="4"/>
      <c r="H43" s="4"/>
      <c r="I43" s="4"/>
      <c r="J43" s="4"/>
      <c r="K43" s="4"/>
      <c r="L43" s="4"/>
      <c r="M43" s="5"/>
      <c r="N43" s="5"/>
      <c r="O43" s="5"/>
      <c r="P43" s="3"/>
      <c r="Q43" s="6"/>
    </row>
    <row r="44" spans="1:17" x14ac:dyDescent="0.4">
      <c r="A44" s="2"/>
      <c r="E44" s="7"/>
      <c r="F44" s="4"/>
      <c r="G44" s="4"/>
      <c r="H44" s="4"/>
      <c r="I44" s="4"/>
      <c r="J44" s="4"/>
      <c r="K44" s="4"/>
      <c r="L44" s="4"/>
      <c r="M44" s="5"/>
      <c r="N44" s="5"/>
      <c r="O44" s="5"/>
      <c r="P44" s="3"/>
      <c r="Q44" s="6"/>
    </row>
    <row r="45" spans="1:17" x14ac:dyDescent="0.4">
      <c r="A45" s="2"/>
      <c r="E45" s="7"/>
      <c r="F45" s="4"/>
      <c r="G45" s="4"/>
      <c r="H45" s="4"/>
      <c r="I45" s="4"/>
      <c r="J45" s="4"/>
      <c r="K45" s="4"/>
      <c r="L45" s="4"/>
      <c r="M45" s="5"/>
      <c r="N45" s="5"/>
      <c r="O45" s="5"/>
      <c r="P45" s="3"/>
      <c r="Q45" s="6"/>
    </row>
    <row r="46" spans="1:17" x14ac:dyDescent="0.4">
      <c r="A46" s="2"/>
      <c r="E46" s="7"/>
      <c r="F46" s="4"/>
      <c r="G46" s="4"/>
      <c r="H46" s="4"/>
      <c r="I46" s="4"/>
      <c r="J46" s="4"/>
      <c r="K46" s="4"/>
      <c r="L46" s="4"/>
      <c r="M46" s="5"/>
      <c r="N46" s="5"/>
      <c r="O46" s="5"/>
      <c r="P46" s="3"/>
      <c r="Q46" s="6"/>
    </row>
    <row r="47" spans="1:17" x14ac:dyDescent="0.4">
      <c r="A47" s="2"/>
      <c r="E47" s="7"/>
      <c r="F47" s="4"/>
      <c r="G47" s="4"/>
      <c r="H47" s="4"/>
      <c r="I47" s="4"/>
      <c r="J47" s="4"/>
      <c r="K47" s="4"/>
      <c r="L47" s="4"/>
      <c r="M47" s="5"/>
      <c r="N47" s="5"/>
      <c r="O47" s="5"/>
      <c r="P47" s="3"/>
      <c r="Q47" s="6"/>
    </row>
    <row r="48" spans="1:17" x14ac:dyDescent="0.4">
      <c r="A48" s="2"/>
      <c r="E48" s="7"/>
      <c r="F48" s="4"/>
      <c r="G48" s="4"/>
      <c r="H48" s="4"/>
      <c r="I48" s="4"/>
      <c r="J48" s="4"/>
      <c r="K48" s="4"/>
      <c r="L48" s="4"/>
      <c r="M48" s="5"/>
      <c r="N48" s="5"/>
      <c r="O48" s="5"/>
      <c r="P48" s="3"/>
      <c r="Q48" s="6"/>
    </row>
    <row r="49" spans="1:17" x14ac:dyDescent="0.4">
      <c r="A49" s="2"/>
      <c r="E49" s="7"/>
      <c r="F49" s="4"/>
      <c r="G49" s="4"/>
      <c r="H49" s="4"/>
      <c r="I49" s="4"/>
      <c r="J49" s="4"/>
      <c r="K49" s="4"/>
      <c r="L49" s="4"/>
      <c r="M49" s="5"/>
      <c r="N49" s="5"/>
      <c r="O49" s="5"/>
      <c r="P49" s="3"/>
      <c r="Q49" s="6"/>
    </row>
    <row r="50" spans="1:17" x14ac:dyDescent="0.4">
      <c r="A50" s="2"/>
      <c r="E50" s="7"/>
      <c r="F50" s="4"/>
      <c r="G50" s="4"/>
      <c r="H50" s="4"/>
      <c r="I50" s="4"/>
      <c r="J50" s="4"/>
      <c r="K50" s="4"/>
      <c r="L50" s="4"/>
      <c r="M50" s="5"/>
      <c r="N50" s="5"/>
      <c r="O50" s="5"/>
      <c r="P50" s="3"/>
      <c r="Q50" s="6"/>
    </row>
    <row r="51" spans="1:17" x14ac:dyDescent="0.4">
      <c r="A51" s="2"/>
      <c r="E51" s="7"/>
      <c r="F51" s="4"/>
      <c r="G51" s="4"/>
      <c r="H51" s="4"/>
      <c r="I51" s="4"/>
      <c r="J51" s="4"/>
      <c r="K51" s="4"/>
      <c r="L51" s="4"/>
      <c r="M51" s="5"/>
      <c r="N51" s="5"/>
      <c r="O51" s="5"/>
      <c r="P51" s="3"/>
      <c r="Q51" s="6"/>
    </row>
    <row r="52" spans="1:17" x14ac:dyDescent="0.4">
      <c r="A52" s="2"/>
      <c r="E52" s="7"/>
      <c r="F52" s="4"/>
      <c r="G52" s="4"/>
      <c r="H52" s="4"/>
      <c r="I52" s="4"/>
      <c r="J52" s="4"/>
      <c r="K52" s="4"/>
      <c r="L52" s="4"/>
      <c r="M52" s="5"/>
      <c r="N52" s="5"/>
      <c r="O52" s="5"/>
      <c r="P52" s="3"/>
      <c r="Q52" s="6"/>
    </row>
    <row r="53" spans="1:17" x14ac:dyDescent="0.4">
      <c r="A53" s="2"/>
      <c r="E53" s="7"/>
      <c r="F53" s="4"/>
      <c r="G53" s="4"/>
      <c r="H53" s="4"/>
      <c r="I53" s="4"/>
      <c r="J53" s="4"/>
      <c r="K53" s="4"/>
      <c r="L53" s="4"/>
      <c r="M53" s="5"/>
      <c r="N53" s="5"/>
      <c r="O53" s="5"/>
      <c r="P53" s="3"/>
      <c r="Q53" s="6"/>
    </row>
    <row r="54" spans="1:17" x14ac:dyDescent="0.4">
      <c r="A54" s="2"/>
      <c r="E54" s="7"/>
      <c r="F54" s="4"/>
      <c r="G54" s="4"/>
      <c r="H54" s="4"/>
      <c r="I54" s="4"/>
      <c r="J54" s="4"/>
      <c r="K54" s="4"/>
      <c r="L54" s="4"/>
      <c r="M54" s="5"/>
      <c r="N54" s="5"/>
      <c r="O54" s="5"/>
      <c r="P54" s="3"/>
      <c r="Q54" s="6"/>
    </row>
    <row r="55" spans="1:17" x14ac:dyDescent="0.4">
      <c r="A55" s="2"/>
      <c r="E55" s="7"/>
      <c r="F55" s="4"/>
      <c r="G55" s="4"/>
      <c r="H55" s="4"/>
      <c r="I55" s="4"/>
      <c r="J55" s="4"/>
      <c r="K55" s="4"/>
      <c r="L55" s="4"/>
      <c r="M55" s="5"/>
      <c r="N55" s="5"/>
      <c r="O55" s="5"/>
      <c r="P55" s="3"/>
      <c r="Q55" s="6"/>
    </row>
    <row r="56" spans="1:17" x14ac:dyDescent="0.4">
      <c r="A56" s="2"/>
      <c r="E56" s="7"/>
      <c r="F56" s="4"/>
      <c r="G56" s="4"/>
      <c r="H56" s="4"/>
      <c r="I56" s="4"/>
      <c r="J56" s="4"/>
      <c r="K56" s="4"/>
      <c r="L56" s="4"/>
      <c r="M56" s="5"/>
      <c r="N56" s="5"/>
      <c r="O56" s="5"/>
      <c r="P56" s="3"/>
      <c r="Q56" s="6"/>
    </row>
    <row r="57" spans="1:17" x14ac:dyDescent="0.4">
      <c r="A57" s="2"/>
      <c r="E57" s="7"/>
      <c r="F57" s="4"/>
      <c r="G57" s="4"/>
      <c r="H57" s="4"/>
      <c r="I57" s="4"/>
      <c r="J57" s="4"/>
      <c r="K57" s="4"/>
      <c r="L57" s="4"/>
      <c r="M57" s="5"/>
      <c r="N57" s="5"/>
      <c r="O57" s="5"/>
      <c r="P57" s="3"/>
      <c r="Q57" s="6"/>
    </row>
    <row r="58" spans="1:17" x14ac:dyDescent="0.4">
      <c r="A58" s="2"/>
      <c r="E58" s="7"/>
      <c r="F58" s="4"/>
      <c r="G58" s="4"/>
      <c r="H58" s="4"/>
      <c r="I58" s="4"/>
      <c r="J58" s="4"/>
      <c r="K58" s="4"/>
      <c r="L58" s="4"/>
      <c r="M58" s="5"/>
      <c r="N58" s="5"/>
      <c r="O58" s="5"/>
      <c r="P58" s="3"/>
      <c r="Q58" s="6"/>
    </row>
    <row r="59" spans="1:17" x14ac:dyDescent="0.4">
      <c r="A59" s="2"/>
      <c r="E59" s="7"/>
      <c r="F59" s="4"/>
      <c r="G59" s="4"/>
      <c r="H59" s="4"/>
      <c r="I59" s="4"/>
      <c r="J59" s="4"/>
      <c r="K59" s="4"/>
      <c r="L59" s="4"/>
      <c r="M59" s="5"/>
      <c r="N59" s="5"/>
      <c r="O59" s="5"/>
      <c r="P59" s="3"/>
      <c r="Q59" s="6"/>
    </row>
    <row r="60" spans="1:17" x14ac:dyDescent="0.4">
      <c r="A60" s="2"/>
      <c r="E60" s="7"/>
      <c r="F60" s="4"/>
      <c r="G60" s="4"/>
      <c r="H60" s="4"/>
      <c r="I60" s="4"/>
      <c r="J60" s="4"/>
      <c r="K60" s="4"/>
      <c r="L60" s="4"/>
      <c r="M60" s="5"/>
      <c r="N60" s="5"/>
      <c r="O60" s="5"/>
      <c r="P60" s="3"/>
      <c r="Q60" s="6"/>
    </row>
    <row r="61" spans="1:17" x14ac:dyDescent="0.4">
      <c r="A61" s="2"/>
      <c r="E61" s="7"/>
      <c r="F61" s="4"/>
      <c r="G61" s="4"/>
      <c r="H61" s="4"/>
      <c r="I61" s="4"/>
      <c r="J61" s="4"/>
      <c r="K61" s="4"/>
      <c r="L61" s="4"/>
      <c r="M61" s="5"/>
      <c r="N61" s="5"/>
      <c r="O61" s="5"/>
      <c r="P61" s="3"/>
      <c r="Q61" s="6"/>
    </row>
    <row r="62" spans="1:17" x14ac:dyDescent="0.4">
      <c r="A62" s="2"/>
      <c r="E62" s="7"/>
      <c r="F62" s="4"/>
      <c r="G62" s="4"/>
      <c r="H62" s="4"/>
      <c r="I62" s="4"/>
      <c r="J62" s="4"/>
      <c r="K62" s="4"/>
      <c r="L62" s="4"/>
      <c r="M62" s="5"/>
      <c r="N62" s="5"/>
      <c r="O62" s="5"/>
      <c r="P62" s="3"/>
      <c r="Q62" s="6"/>
    </row>
    <row r="63" spans="1:17" x14ac:dyDescent="0.4">
      <c r="A63" s="2"/>
      <c r="E63" s="7"/>
      <c r="F63" s="4"/>
      <c r="G63" s="4"/>
      <c r="H63" s="4"/>
      <c r="I63" s="4"/>
      <c r="J63" s="4"/>
      <c r="K63" s="4"/>
      <c r="L63" s="4"/>
      <c r="M63" s="5"/>
      <c r="N63" s="5"/>
      <c r="O63" s="5"/>
      <c r="P63" s="3"/>
      <c r="Q63" s="6"/>
    </row>
    <row r="64" spans="1:17" x14ac:dyDescent="0.4">
      <c r="A64" s="2"/>
      <c r="E64" s="7"/>
      <c r="F64" s="4"/>
      <c r="G64" s="4"/>
      <c r="H64" s="4"/>
      <c r="I64" s="4"/>
      <c r="J64" s="4"/>
      <c r="K64" s="4"/>
      <c r="L64" s="4"/>
      <c r="M64" s="5"/>
      <c r="N64" s="5"/>
      <c r="O64" s="5"/>
      <c r="P64" s="3"/>
      <c r="Q64" s="6"/>
    </row>
    <row r="65" spans="1:17" x14ac:dyDescent="0.4">
      <c r="A65" s="2"/>
      <c r="E65" s="7"/>
      <c r="F65" s="4"/>
      <c r="G65" s="4"/>
      <c r="H65" s="4"/>
      <c r="I65" s="4"/>
      <c r="J65" s="4"/>
      <c r="K65" s="4"/>
      <c r="L65" s="4"/>
      <c r="M65" s="5"/>
      <c r="N65" s="5"/>
      <c r="O65" s="5"/>
      <c r="P65" s="3"/>
      <c r="Q65" s="6"/>
    </row>
    <row r="66" spans="1:17" x14ac:dyDescent="0.4">
      <c r="A66" s="2"/>
      <c r="E66" s="7"/>
      <c r="F66" s="4"/>
      <c r="G66" s="4"/>
      <c r="H66" s="4"/>
      <c r="I66" s="4"/>
      <c r="J66" s="4"/>
      <c r="K66" s="4"/>
      <c r="L66" s="4"/>
      <c r="M66" s="5"/>
      <c r="N66" s="5"/>
      <c r="O66" s="5"/>
      <c r="P66" s="3"/>
      <c r="Q66" s="6"/>
    </row>
    <row r="67" spans="1:17" x14ac:dyDescent="0.4">
      <c r="A67" s="2"/>
      <c r="E67" s="7"/>
      <c r="F67" s="4"/>
      <c r="G67" s="4"/>
      <c r="H67" s="4"/>
      <c r="I67" s="4"/>
      <c r="J67" s="4"/>
      <c r="K67" s="4"/>
      <c r="L67" s="4"/>
      <c r="M67" s="5"/>
      <c r="N67" s="5"/>
      <c r="O67" s="5"/>
      <c r="P67" s="3"/>
      <c r="Q67" s="6"/>
    </row>
    <row r="68" spans="1:17" x14ac:dyDescent="0.4">
      <c r="A68" s="2"/>
      <c r="E68" s="7"/>
      <c r="F68" s="4"/>
      <c r="G68" s="4"/>
      <c r="H68" s="4"/>
      <c r="I68" s="4"/>
      <c r="J68" s="4"/>
      <c r="K68" s="4"/>
      <c r="L68" s="4"/>
      <c r="M68" s="5"/>
      <c r="N68" s="5"/>
      <c r="O68" s="5"/>
      <c r="P68" s="3"/>
      <c r="Q68" s="6"/>
    </row>
    <row r="69" spans="1:17" x14ac:dyDescent="0.4">
      <c r="A69" s="2"/>
      <c r="E69" s="7"/>
      <c r="F69" s="4"/>
      <c r="G69" s="4"/>
      <c r="H69" s="4"/>
      <c r="I69" s="4"/>
      <c r="J69" s="4"/>
      <c r="K69" s="4"/>
      <c r="L69" s="4"/>
      <c r="M69" s="5"/>
      <c r="N69" s="5"/>
      <c r="O69" s="5"/>
      <c r="P69" s="3"/>
      <c r="Q69" s="6"/>
    </row>
    <row r="70" spans="1:17" x14ac:dyDescent="0.4">
      <c r="A70" s="2"/>
      <c r="E70" s="7"/>
      <c r="F70" s="4"/>
      <c r="G70" s="4"/>
      <c r="H70" s="4"/>
      <c r="I70" s="4"/>
      <c r="J70" s="4"/>
      <c r="K70" s="4"/>
      <c r="L70" s="4"/>
      <c r="M70" s="5"/>
      <c r="N70" s="5"/>
      <c r="O70" s="5"/>
      <c r="P70" s="3"/>
      <c r="Q70" s="6"/>
    </row>
    <row r="71" spans="1:17" x14ac:dyDescent="0.4">
      <c r="A71" s="2"/>
      <c r="E71" s="7"/>
      <c r="F71" s="4"/>
      <c r="G71" s="4"/>
      <c r="H71" s="4"/>
      <c r="I71" s="4"/>
      <c r="J71" s="4"/>
      <c r="K71" s="4"/>
      <c r="L71" s="4"/>
      <c r="M71" s="5"/>
      <c r="N71" s="5"/>
      <c r="O71" s="5"/>
      <c r="P71" s="3"/>
      <c r="Q71" s="6"/>
    </row>
    <row r="72" spans="1:17" x14ac:dyDescent="0.4">
      <c r="A72" s="2"/>
      <c r="E72" s="7"/>
      <c r="F72" s="4"/>
      <c r="G72" s="4"/>
      <c r="H72" s="4"/>
      <c r="I72" s="4"/>
      <c r="J72" s="4"/>
      <c r="K72" s="4"/>
      <c r="L72" s="4"/>
      <c r="M72" s="5"/>
      <c r="N72" s="5"/>
      <c r="O72" s="5"/>
      <c r="P72" s="3"/>
      <c r="Q72" s="6"/>
    </row>
    <row r="73" spans="1:17" x14ac:dyDescent="0.4">
      <c r="A73" s="2"/>
      <c r="E73" s="7"/>
      <c r="F73" s="4"/>
      <c r="G73" s="4"/>
      <c r="H73" s="4"/>
      <c r="I73" s="4"/>
      <c r="J73" s="4"/>
      <c r="K73" s="4"/>
      <c r="L73" s="4"/>
      <c r="M73" s="5"/>
      <c r="N73" s="5"/>
      <c r="O73" s="5"/>
      <c r="P73" s="3"/>
      <c r="Q73" s="6"/>
    </row>
    <row r="74" spans="1:17" x14ac:dyDescent="0.4">
      <c r="A74" s="2"/>
      <c r="E74" s="7"/>
      <c r="F74" s="4"/>
      <c r="G74" s="4"/>
      <c r="H74" s="4"/>
      <c r="I74" s="4"/>
      <c r="J74" s="4"/>
      <c r="K74" s="4"/>
      <c r="L74" s="4"/>
      <c r="M74" s="5"/>
      <c r="N74" s="5"/>
      <c r="O74" s="5"/>
      <c r="P74" s="3"/>
      <c r="Q74" s="6"/>
    </row>
    <row r="75" spans="1:17" x14ac:dyDescent="0.4">
      <c r="A75" s="2"/>
      <c r="E75" s="7"/>
      <c r="F75" s="4"/>
      <c r="G75" s="4"/>
      <c r="H75" s="4"/>
      <c r="I75" s="4"/>
      <c r="J75" s="4"/>
      <c r="K75" s="4"/>
      <c r="L75" s="4"/>
      <c r="M75" s="5"/>
      <c r="N75" s="5"/>
      <c r="O75" s="5"/>
      <c r="P75" s="3"/>
      <c r="Q75" s="6"/>
    </row>
    <row r="76" spans="1:17" x14ac:dyDescent="0.4">
      <c r="A76" s="2"/>
      <c r="E76" s="7"/>
      <c r="F76" s="4"/>
      <c r="G76" s="4"/>
      <c r="H76" s="4"/>
      <c r="I76" s="4"/>
      <c r="J76" s="4"/>
      <c r="K76" s="4"/>
      <c r="L76" s="4"/>
      <c r="M76" s="5"/>
      <c r="N76" s="5"/>
      <c r="O76" s="5"/>
      <c r="P76" s="3"/>
      <c r="Q76" s="6"/>
    </row>
    <row r="77" spans="1:17" x14ac:dyDescent="0.4">
      <c r="A77" s="2"/>
      <c r="E77" s="7"/>
      <c r="F77" s="4"/>
      <c r="G77" s="4"/>
      <c r="H77" s="4"/>
      <c r="I77" s="4"/>
      <c r="J77" s="4"/>
      <c r="K77" s="4"/>
      <c r="L77" s="4"/>
      <c r="M77" s="5"/>
      <c r="N77" s="5"/>
      <c r="O77" s="5"/>
      <c r="P77" s="3"/>
      <c r="Q77" s="6"/>
    </row>
    <row r="78" spans="1:17" x14ac:dyDescent="0.4">
      <c r="A78" s="2"/>
      <c r="E78" s="7"/>
      <c r="F78" s="4"/>
      <c r="G78" s="4"/>
      <c r="H78" s="4"/>
      <c r="I78" s="4"/>
      <c r="J78" s="4"/>
      <c r="K78" s="4"/>
      <c r="L78" s="4"/>
      <c r="M78" s="5"/>
      <c r="N78" s="5"/>
      <c r="O78" s="5"/>
      <c r="P78" s="3"/>
      <c r="Q78" s="6"/>
    </row>
    <row r="79" spans="1:17" x14ac:dyDescent="0.4">
      <c r="A79" s="2"/>
      <c r="E79" s="7"/>
      <c r="F79" s="4"/>
      <c r="G79" s="4"/>
      <c r="H79" s="4"/>
      <c r="I79" s="4"/>
      <c r="J79" s="4"/>
      <c r="K79" s="4"/>
      <c r="L79" s="4"/>
      <c r="M79" s="5"/>
      <c r="N79" s="5"/>
      <c r="O79" s="5"/>
      <c r="P79" s="3"/>
      <c r="Q79" s="6"/>
    </row>
    <row r="80" spans="1:17" x14ac:dyDescent="0.4">
      <c r="A80" s="2"/>
      <c r="E80" s="7"/>
      <c r="F80" s="4"/>
      <c r="G80" s="4"/>
      <c r="H80" s="4"/>
      <c r="I80" s="4"/>
      <c r="J80" s="4"/>
      <c r="K80" s="4"/>
      <c r="L80" s="4"/>
      <c r="M80" s="5"/>
      <c r="N80" s="5"/>
      <c r="O80" s="5"/>
      <c r="P80" s="3"/>
      <c r="Q80" s="6"/>
    </row>
    <row r="81" spans="1:17" x14ac:dyDescent="0.4">
      <c r="A81" s="2"/>
      <c r="E81" s="7"/>
      <c r="F81" s="4"/>
      <c r="G81" s="4"/>
      <c r="H81" s="4"/>
      <c r="I81" s="4"/>
      <c r="J81" s="4"/>
      <c r="K81" s="4"/>
      <c r="L81" s="4"/>
      <c r="M81" s="5"/>
      <c r="N81" s="5"/>
      <c r="O81" s="5"/>
      <c r="P81" s="3"/>
      <c r="Q81" s="6"/>
    </row>
    <row r="82" spans="1:17" x14ac:dyDescent="0.4">
      <c r="A82" s="2"/>
      <c r="E82" s="7"/>
      <c r="F82" s="4"/>
      <c r="G82" s="4"/>
      <c r="H82" s="4"/>
      <c r="I82" s="4"/>
      <c r="J82" s="4"/>
      <c r="K82" s="4"/>
      <c r="L82" s="4"/>
      <c r="M82" s="5"/>
      <c r="N82" s="5"/>
      <c r="O82" s="5"/>
      <c r="P82" s="3"/>
      <c r="Q82" s="6"/>
    </row>
    <row r="83" spans="1:17" x14ac:dyDescent="0.4">
      <c r="A83" s="2"/>
      <c r="E83" s="7"/>
      <c r="F83" s="4"/>
      <c r="G83" s="4"/>
      <c r="H83" s="4"/>
      <c r="I83" s="4"/>
      <c r="J83" s="4"/>
      <c r="K83" s="4"/>
      <c r="L83" s="4"/>
      <c r="M83" s="5"/>
      <c r="N83" s="5"/>
      <c r="O83" s="5"/>
      <c r="P83" s="3"/>
      <c r="Q83" s="6"/>
    </row>
    <row r="84" spans="1:17" x14ac:dyDescent="0.4">
      <c r="A84" s="2"/>
      <c r="E84" s="7"/>
      <c r="F84" s="4"/>
      <c r="G84" s="4"/>
      <c r="H84" s="4"/>
      <c r="I84" s="4"/>
      <c r="J84" s="4"/>
      <c r="K84" s="4"/>
      <c r="L84" s="4"/>
      <c r="M84" s="5"/>
      <c r="N84" s="5"/>
      <c r="O84" s="5"/>
      <c r="P84" s="3"/>
      <c r="Q84" s="6"/>
    </row>
    <row r="85" spans="1:17" x14ac:dyDescent="0.4">
      <c r="A85" s="2"/>
      <c r="E85" s="7"/>
      <c r="F85" s="4"/>
      <c r="G85" s="4"/>
      <c r="H85" s="4"/>
      <c r="I85" s="4"/>
      <c r="J85" s="4"/>
      <c r="K85" s="4"/>
      <c r="L85" s="4"/>
      <c r="M85" s="5"/>
      <c r="N85" s="5"/>
      <c r="O85" s="5"/>
      <c r="P85" s="3"/>
      <c r="Q85" s="6"/>
    </row>
    <row r="86" spans="1:17" x14ac:dyDescent="0.4">
      <c r="A86" s="2"/>
      <c r="E86" s="7"/>
      <c r="F86" s="4"/>
      <c r="G86" s="4"/>
      <c r="H86" s="4"/>
      <c r="I86" s="4"/>
      <c r="J86" s="4"/>
      <c r="K86" s="4"/>
      <c r="L86" s="4"/>
      <c r="M86" s="5"/>
      <c r="N86" s="5"/>
      <c r="O86" s="5"/>
      <c r="P86" s="3"/>
      <c r="Q86" s="6"/>
    </row>
    <row r="87" spans="1:17" x14ac:dyDescent="0.4">
      <c r="A87" s="2"/>
      <c r="E87" s="7"/>
      <c r="F87" s="4"/>
      <c r="G87" s="4"/>
      <c r="H87" s="4"/>
      <c r="I87" s="4"/>
      <c r="J87" s="4"/>
      <c r="K87" s="4"/>
      <c r="L87" s="4"/>
      <c r="M87" s="5"/>
      <c r="N87" s="5"/>
      <c r="O87" s="5"/>
      <c r="P87" s="3"/>
      <c r="Q87" s="6"/>
    </row>
    <row r="88" spans="1:17" x14ac:dyDescent="0.4">
      <c r="A88" s="2"/>
      <c r="E88" s="7"/>
      <c r="F88" s="4"/>
      <c r="G88" s="4"/>
      <c r="H88" s="4"/>
      <c r="I88" s="4"/>
      <c r="J88" s="4"/>
      <c r="K88" s="4"/>
      <c r="L88" s="4"/>
      <c r="M88" s="5"/>
      <c r="N88" s="5"/>
      <c r="O88" s="5"/>
      <c r="P88" s="3"/>
      <c r="Q88" s="6"/>
    </row>
    <row r="89" spans="1:17" x14ac:dyDescent="0.4">
      <c r="A89" s="2"/>
      <c r="E89" s="7"/>
      <c r="F89" s="4"/>
      <c r="G89" s="4"/>
      <c r="H89" s="4"/>
      <c r="I89" s="4"/>
      <c r="J89" s="4"/>
      <c r="K89" s="4"/>
      <c r="L89" s="4"/>
      <c r="M89" s="5"/>
      <c r="N89" s="5"/>
      <c r="O89" s="5"/>
      <c r="P89" s="3"/>
      <c r="Q89" s="6"/>
    </row>
    <row r="90" spans="1:17" x14ac:dyDescent="0.4">
      <c r="A90" s="2"/>
      <c r="E90" s="7"/>
      <c r="F90" s="4"/>
      <c r="G90" s="4"/>
      <c r="H90" s="4"/>
      <c r="I90" s="4"/>
      <c r="J90" s="4"/>
      <c r="K90" s="4"/>
      <c r="L90" s="4"/>
      <c r="M90" s="5"/>
      <c r="N90" s="5"/>
      <c r="O90" s="5"/>
      <c r="P90" s="3"/>
      <c r="Q90" s="6"/>
    </row>
    <row r="91" spans="1:17" x14ac:dyDescent="0.4">
      <c r="A91" s="2"/>
      <c r="E91" s="7"/>
      <c r="F91" s="4"/>
      <c r="G91" s="4"/>
      <c r="H91" s="4"/>
      <c r="I91" s="4"/>
      <c r="J91" s="4"/>
      <c r="K91" s="4"/>
      <c r="L91" s="4"/>
      <c r="M91" s="5"/>
      <c r="N91" s="5"/>
      <c r="O91" s="5"/>
      <c r="P91" s="3"/>
      <c r="Q91" s="6"/>
    </row>
    <row r="92" spans="1:17" x14ac:dyDescent="0.4">
      <c r="A92" s="2"/>
      <c r="E92" s="7"/>
      <c r="F92" s="4"/>
      <c r="G92" s="4"/>
      <c r="H92" s="4"/>
      <c r="I92" s="4"/>
      <c r="J92" s="4"/>
      <c r="K92" s="4"/>
      <c r="L92" s="4"/>
      <c r="M92" s="5"/>
      <c r="N92" s="5"/>
      <c r="O92" s="5"/>
      <c r="P92" s="3"/>
      <c r="Q92" s="6"/>
    </row>
    <row r="93" spans="1:17" x14ac:dyDescent="0.4">
      <c r="A93" s="2"/>
      <c r="E93" s="7"/>
      <c r="F93" s="4"/>
      <c r="G93" s="4"/>
      <c r="H93" s="4"/>
      <c r="I93" s="4"/>
      <c r="J93" s="4"/>
      <c r="K93" s="4"/>
      <c r="L93" s="4"/>
      <c r="M93" s="5"/>
      <c r="N93" s="5"/>
      <c r="O93" s="5"/>
      <c r="P93" s="3"/>
      <c r="Q93" s="6"/>
    </row>
    <row r="94" spans="1:17" x14ac:dyDescent="0.4">
      <c r="A94" s="2"/>
      <c r="E94" s="7"/>
      <c r="F94" s="4"/>
      <c r="G94" s="4"/>
      <c r="H94" s="4"/>
      <c r="I94" s="4"/>
      <c r="J94" s="4"/>
      <c r="K94" s="4"/>
      <c r="L94" s="4"/>
      <c r="M94" s="5"/>
      <c r="N94" s="5"/>
      <c r="O94" s="5"/>
      <c r="P94" s="3"/>
      <c r="Q94" s="6"/>
    </row>
    <row r="95" spans="1:17" x14ac:dyDescent="0.4">
      <c r="A95" s="2"/>
      <c r="E95" s="7"/>
      <c r="F95" s="4"/>
      <c r="G95" s="4"/>
      <c r="H95" s="4"/>
      <c r="I95" s="4"/>
      <c r="J95" s="4"/>
      <c r="K95" s="4"/>
      <c r="L95" s="4"/>
      <c r="M95" s="5"/>
      <c r="N95" s="5"/>
      <c r="O95" s="5"/>
      <c r="P95" s="3"/>
      <c r="Q95" s="6"/>
    </row>
    <row r="96" spans="1:17" x14ac:dyDescent="0.4">
      <c r="A96" s="2"/>
      <c r="E96" s="7"/>
      <c r="F96" s="4"/>
      <c r="G96" s="4"/>
      <c r="H96" s="4"/>
      <c r="I96" s="4"/>
      <c r="J96" s="4"/>
      <c r="K96" s="4"/>
      <c r="L96" s="4"/>
      <c r="M96" s="5"/>
      <c r="N96" s="5"/>
      <c r="O96" s="5"/>
      <c r="P96" s="3"/>
      <c r="Q96" s="6"/>
    </row>
    <row r="97" spans="1:17" x14ac:dyDescent="0.4">
      <c r="A97" s="2"/>
      <c r="E97" s="7"/>
      <c r="F97" s="4"/>
      <c r="G97" s="4"/>
      <c r="H97" s="4"/>
      <c r="I97" s="4"/>
      <c r="J97" s="4"/>
      <c r="K97" s="4"/>
      <c r="L97" s="4"/>
      <c r="M97" s="5"/>
      <c r="N97" s="5"/>
      <c r="O97" s="5"/>
      <c r="P97" s="3"/>
      <c r="Q97" s="6"/>
    </row>
    <row r="98" spans="1:17" x14ac:dyDescent="0.4">
      <c r="A98" s="2"/>
      <c r="E98" s="7"/>
      <c r="F98" s="4"/>
      <c r="G98" s="4"/>
      <c r="H98" s="4"/>
      <c r="I98" s="4"/>
      <c r="J98" s="4"/>
      <c r="K98" s="4"/>
      <c r="L98" s="4"/>
      <c r="M98" s="5"/>
      <c r="N98" s="5"/>
      <c r="O98" s="5"/>
      <c r="P98" s="3"/>
      <c r="Q98" s="6"/>
    </row>
    <row r="99" spans="1:17" x14ac:dyDescent="0.4">
      <c r="A99" s="2"/>
      <c r="E99" s="7"/>
      <c r="F99" s="4"/>
      <c r="G99" s="4"/>
      <c r="H99" s="4"/>
      <c r="I99" s="4"/>
      <c r="J99" s="4"/>
      <c r="K99" s="4"/>
      <c r="L99" s="4"/>
      <c r="M99" s="5"/>
      <c r="N99" s="5"/>
      <c r="O99" s="5"/>
      <c r="P99" s="3"/>
      <c r="Q99" s="6"/>
    </row>
    <row r="100" spans="1:17" x14ac:dyDescent="0.4">
      <c r="A100" s="2"/>
      <c r="E100" s="7"/>
      <c r="F100" s="4"/>
      <c r="G100" s="4"/>
      <c r="H100" s="4"/>
      <c r="I100" s="4"/>
      <c r="J100" s="4"/>
      <c r="K100" s="4"/>
      <c r="L100" s="4"/>
      <c r="M100" s="5"/>
      <c r="N100" s="5"/>
      <c r="O100" s="5"/>
      <c r="P100" s="3"/>
      <c r="Q100" s="6"/>
    </row>
    <row r="101" spans="1:17" x14ac:dyDescent="0.4">
      <c r="A101" s="2"/>
      <c r="E101" s="7"/>
      <c r="F101" s="4"/>
      <c r="G101" s="4"/>
      <c r="H101" s="4"/>
      <c r="I101" s="4"/>
      <c r="J101" s="4"/>
      <c r="K101" s="4"/>
      <c r="L101" s="4"/>
      <c r="M101" s="5"/>
      <c r="N101" s="5"/>
      <c r="O101" s="5"/>
      <c r="P101" s="3"/>
      <c r="Q101" s="6"/>
    </row>
    <row r="102" spans="1:17" x14ac:dyDescent="0.4">
      <c r="A102" s="2"/>
      <c r="E102" s="7"/>
      <c r="F102" s="4"/>
      <c r="G102" s="4"/>
      <c r="H102" s="4"/>
      <c r="I102" s="4"/>
      <c r="J102" s="4"/>
      <c r="K102" s="4"/>
      <c r="L102" s="4"/>
      <c r="M102" s="5"/>
      <c r="N102" s="5"/>
      <c r="O102" s="5"/>
      <c r="P102" s="3"/>
      <c r="Q102" s="6"/>
    </row>
    <row r="103" spans="1:17" x14ac:dyDescent="0.4">
      <c r="A103" s="2"/>
      <c r="E103" s="7"/>
      <c r="F103" s="4"/>
      <c r="G103" s="4"/>
      <c r="H103" s="4"/>
      <c r="I103" s="4"/>
      <c r="J103" s="4"/>
      <c r="K103" s="4"/>
      <c r="L103" s="4"/>
      <c r="M103" s="5"/>
      <c r="N103" s="5"/>
      <c r="O103" s="5"/>
      <c r="P103" s="3"/>
      <c r="Q103" s="6"/>
    </row>
    <row r="104" spans="1:17" x14ac:dyDescent="0.4">
      <c r="A104" s="2"/>
      <c r="E104" s="7"/>
      <c r="F104" s="4"/>
      <c r="G104" s="4"/>
      <c r="H104" s="4"/>
      <c r="I104" s="4"/>
      <c r="J104" s="4"/>
      <c r="K104" s="4"/>
      <c r="L104" s="4"/>
      <c r="M104" s="5"/>
      <c r="N104" s="5"/>
      <c r="O104" s="5"/>
      <c r="P104" s="3"/>
      <c r="Q104" s="6"/>
    </row>
    <row r="105" spans="1:17" x14ac:dyDescent="0.4">
      <c r="A105" s="2"/>
      <c r="E105" s="7"/>
      <c r="F105" s="4"/>
      <c r="G105" s="4"/>
      <c r="H105" s="4"/>
      <c r="I105" s="4"/>
      <c r="J105" s="4"/>
      <c r="K105" s="4"/>
      <c r="L105" s="4"/>
      <c r="M105" s="5"/>
      <c r="N105" s="5"/>
      <c r="O105" s="5"/>
      <c r="P105" s="3"/>
      <c r="Q105" s="6"/>
    </row>
    <row r="106" spans="1:17" x14ac:dyDescent="0.4">
      <c r="A106" s="2"/>
      <c r="E106" s="7"/>
      <c r="F106" s="4"/>
      <c r="G106" s="4"/>
      <c r="H106" s="4"/>
      <c r="I106" s="4"/>
      <c r="J106" s="4"/>
      <c r="K106" s="4"/>
      <c r="L106" s="4"/>
      <c r="M106" s="5"/>
      <c r="N106" s="5"/>
      <c r="O106" s="5"/>
      <c r="P106" s="3"/>
      <c r="Q106" s="6"/>
    </row>
    <row r="107" spans="1:17" x14ac:dyDescent="0.4">
      <c r="A107" s="2"/>
      <c r="E107" s="7"/>
      <c r="F107" s="4"/>
      <c r="G107" s="4"/>
      <c r="H107" s="4"/>
      <c r="I107" s="4"/>
      <c r="J107" s="4"/>
      <c r="K107" s="4"/>
      <c r="L107" s="4"/>
      <c r="M107" s="5"/>
      <c r="N107" s="5"/>
      <c r="O107" s="5"/>
      <c r="P107" s="3"/>
      <c r="Q107" s="6"/>
    </row>
    <row r="108" spans="1:17" x14ac:dyDescent="0.4">
      <c r="A108" s="2"/>
      <c r="E108" s="7"/>
      <c r="F108" s="4"/>
      <c r="G108" s="4"/>
      <c r="H108" s="4"/>
      <c r="I108" s="4"/>
      <c r="J108" s="4"/>
      <c r="K108" s="4"/>
      <c r="L108" s="4"/>
      <c r="M108" s="5"/>
      <c r="N108" s="5"/>
      <c r="O108" s="5"/>
      <c r="P108" s="3"/>
      <c r="Q108" s="6"/>
    </row>
    <row r="109" spans="1:17" x14ac:dyDescent="0.4">
      <c r="A109" s="2"/>
      <c r="E109" s="7"/>
      <c r="F109" s="4"/>
      <c r="G109" s="4"/>
      <c r="H109" s="4"/>
      <c r="I109" s="4"/>
      <c r="J109" s="4"/>
      <c r="K109" s="4"/>
      <c r="L109" s="4"/>
      <c r="M109" s="5"/>
      <c r="N109" s="5"/>
      <c r="O109" s="5"/>
      <c r="P109" s="3"/>
      <c r="Q109" s="6"/>
    </row>
    <row r="110" spans="1:17" x14ac:dyDescent="0.4">
      <c r="A110" s="2"/>
      <c r="E110" s="7"/>
      <c r="F110" s="4"/>
      <c r="G110" s="4"/>
      <c r="H110" s="4"/>
      <c r="I110" s="4"/>
      <c r="J110" s="4"/>
      <c r="K110" s="4"/>
      <c r="L110" s="4"/>
      <c r="M110" s="5"/>
      <c r="N110" s="5"/>
      <c r="O110" s="5"/>
      <c r="P110" s="3"/>
      <c r="Q110" s="6"/>
    </row>
    <row r="111" spans="1:17" x14ac:dyDescent="0.4">
      <c r="A111" s="2"/>
      <c r="E111" s="7"/>
      <c r="F111" s="4"/>
      <c r="G111" s="4"/>
      <c r="H111" s="4"/>
      <c r="I111" s="4"/>
      <c r="J111" s="4"/>
      <c r="K111" s="4"/>
      <c r="L111" s="4"/>
      <c r="M111" s="5"/>
      <c r="N111" s="5"/>
      <c r="O111" s="5"/>
      <c r="P111" s="3"/>
      <c r="Q111" s="6"/>
    </row>
    <row r="112" spans="1:17" x14ac:dyDescent="0.4">
      <c r="A112" s="2"/>
      <c r="E112" s="7"/>
      <c r="F112" s="4"/>
      <c r="G112" s="4"/>
      <c r="H112" s="4"/>
      <c r="I112" s="4"/>
      <c r="J112" s="4"/>
      <c r="K112" s="4"/>
      <c r="L112" s="4"/>
      <c r="M112" s="5"/>
      <c r="N112" s="5"/>
      <c r="O112" s="5"/>
      <c r="P112" s="3"/>
      <c r="Q112" s="6"/>
    </row>
    <row r="113" spans="1:17" x14ac:dyDescent="0.4">
      <c r="A113" s="2"/>
      <c r="E113" s="7"/>
      <c r="F113" s="4"/>
      <c r="G113" s="4"/>
      <c r="H113" s="4"/>
      <c r="I113" s="4"/>
      <c r="J113" s="4"/>
      <c r="K113" s="4"/>
      <c r="L113" s="4"/>
      <c r="M113" s="5"/>
      <c r="N113" s="5"/>
      <c r="O113" s="5"/>
      <c r="P113" s="3"/>
      <c r="Q113" s="6"/>
    </row>
    <row r="114" spans="1:17" x14ac:dyDescent="0.4">
      <c r="A114" s="2"/>
      <c r="E114" s="7"/>
      <c r="F114" s="4"/>
      <c r="G114" s="4"/>
      <c r="H114" s="4"/>
      <c r="I114" s="4"/>
      <c r="J114" s="4"/>
      <c r="K114" s="4"/>
      <c r="L114" s="4"/>
      <c r="M114" s="5"/>
      <c r="N114" s="5"/>
      <c r="O114" s="5"/>
      <c r="P114" s="3"/>
      <c r="Q114" s="6"/>
    </row>
    <row r="115" spans="1:17" x14ac:dyDescent="0.4">
      <c r="A115" s="2"/>
      <c r="E115" s="7"/>
      <c r="F115" s="4"/>
      <c r="G115" s="4"/>
      <c r="H115" s="4"/>
      <c r="I115" s="4"/>
      <c r="J115" s="4"/>
      <c r="K115" s="4"/>
      <c r="L115" s="4"/>
      <c r="M115" s="5"/>
      <c r="N115" s="5"/>
      <c r="O115" s="5"/>
      <c r="P115" s="3"/>
      <c r="Q115" s="6"/>
    </row>
    <row r="116" spans="1:17" x14ac:dyDescent="0.4">
      <c r="A116" s="2"/>
      <c r="E116" s="7"/>
      <c r="F116" s="4"/>
      <c r="G116" s="4"/>
      <c r="H116" s="4"/>
      <c r="I116" s="4"/>
      <c r="J116" s="4"/>
      <c r="K116" s="4"/>
      <c r="L116" s="4"/>
      <c r="M116" s="5"/>
      <c r="N116" s="5"/>
      <c r="O116" s="5"/>
      <c r="P116" s="3"/>
      <c r="Q116" s="6"/>
    </row>
    <row r="117" spans="1:17" x14ac:dyDescent="0.4">
      <c r="A117" s="2"/>
      <c r="E117" s="7"/>
      <c r="F117" s="4"/>
      <c r="G117" s="4"/>
      <c r="H117" s="4"/>
      <c r="I117" s="4"/>
      <c r="J117" s="4"/>
      <c r="K117" s="4"/>
      <c r="L117" s="4"/>
      <c r="M117" s="5"/>
      <c r="N117" s="5"/>
      <c r="O117" s="5"/>
      <c r="P117" s="3"/>
      <c r="Q117" s="6"/>
    </row>
    <row r="118" spans="1:17" x14ac:dyDescent="0.4">
      <c r="A118" s="2"/>
      <c r="E118" s="7"/>
      <c r="F118" s="4"/>
      <c r="G118" s="4"/>
      <c r="H118" s="4"/>
      <c r="I118" s="4"/>
      <c r="J118" s="4"/>
      <c r="K118" s="4"/>
      <c r="L118" s="4"/>
      <c r="M118" s="5"/>
      <c r="N118" s="5"/>
      <c r="O118" s="5"/>
      <c r="P118" s="3"/>
      <c r="Q118" s="6"/>
    </row>
    <row r="119" spans="1:17" x14ac:dyDescent="0.4">
      <c r="A119" s="2"/>
      <c r="E119" s="7"/>
      <c r="F119" s="4"/>
      <c r="G119" s="4"/>
      <c r="H119" s="4"/>
      <c r="I119" s="4"/>
      <c r="J119" s="4"/>
      <c r="K119" s="4"/>
      <c r="L119" s="4"/>
      <c r="M119" s="5"/>
      <c r="N119" s="5"/>
      <c r="O119" s="5"/>
      <c r="P119" s="3"/>
      <c r="Q119" s="6"/>
    </row>
    <row r="120" spans="1:17" x14ac:dyDescent="0.4">
      <c r="A120" s="2"/>
      <c r="E120" s="7"/>
      <c r="F120" s="4"/>
      <c r="G120" s="4"/>
      <c r="H120" s="4"/>
      <c r="I120" s="4"/>
      <c r="J120" s="4"/>
      <c r="K120" s="4"/>
      <c r="L120" s="4"/>
      <c r="M120" s="5"/>
      <c r="N120" s="5"/>
      <c r="O120" s="5"/>
      <c r="P120" s="3"/>
      <c r="Q120" s="6"/>
    </row>
    <row r="121" spans="1:17" x14ac:dyDescent="0.4">
      <c r="A121" s="2"/>
      <c r="E121" s="7"/>
      <c r="F121" s="4"/>
      <c r="G121" s="4"/>
      <c r="H121" s="4"/>
      <c r="I121" s="4"/>
      <c r="J121" s="4"/>
      <c r="K121" s="4"/>
      <c r="L121" s="4"/>
      <c r="M121" s="5"/>
      <c r="N121" s="5"/>
      <c r="O121" s="5"/>
      <c r="P121" s="3"/>
      <c r="Q121" s="6"/>
    </row>
    <row r="122" spans="1:17" x14ac:dyDescent="0.4">
      <c r="A122" s="2"/>
      <c r="E122" s="7"/>
      <c r="F122" s="4"/>
      <c r="G122" s="4"/>
      <c r="H122" s="4"/>
      <c r="I122" s="4"/>
      <c r="J122" s="4"/>
      <c r="K122" s="4"/>
      <c r="L122" s="4"/>
      <c r="M122" s="5"/>
      <c r="N122" s="5"/>
      <c r="O122" s="5"/>
      <c r="P122" s="3"/>
      <c r="Q122" s="6"/>
    </row>
    <row r="123" spans="1:17" x14ac:dyDescent="0.4">
      <c r="A123" s="2"/>
      <c r="E123" s="7"/>
      <c r="F123" s="4"/>
      <c r="G123" s="4"/>
      <c r="H123" s="4"/>
      <c r="I123" s="4"/>
      <c r="J123" s="4"/>
      <c r="K123" s="4"/>
      <c r="L123" s="4"/>
      <c r="M123" s="5"/>
      <c r="N123" s="5"/>
      <c r="O123" s="5"/>
      <c r="P123" s="3"/>
      <c r="Q123" s="6"/>
    </row>
    <row r="124" spans="1:17" x14ac:dyDescent="0.4">
      <c r="A124" s="2"/>
      <c r="E124" s="7"/>
      <c r="F124" s="4"/>
      <c r="G124" s="4"/>
      <c r="H124" s="4"/>
      <c r="I124" s="4"/>
      <c r="J124" s="4"/>
      <c r="K124" s="4"/>
      <c r="L124" s="4"/>
      <c r="M124" s="5"/>
      <c r="N124" s="5"/>
      <c r="O124" s="5"/>
      <c r="P124" s="3"/>
      <c r="Q124" s="6"/>
    </row>
    <row r="125" spans="1:17" x14ac:dyDescent="0.4">
      <c r="A125" s="2"/>
      <c r="E125" s="7"/>
      <c r="F125" s="4"/>
      <c r="G125" s="4"/>
      <c r="H125" s="4"/>
      <c r="I125" s="4"/>
      <c r="J125" s="4"/>
      <c r="K125" s="4"/>
      <c r="L125" s="4"/>
      <c r="M125" s="5"/>
      <c r="N125" s="5"/>
      <c r="O125" s="5"/>
      <c r="P125" s="3"/>
      <c r="Q125" s="6"/>
    </row>
    <row r="126" spans="1:17" x14ac:dyDescent="0.4">
      <c r="A126" s="2"/>
      <c r="E126" s="7"/>
      <c r="F126" s="4"/>
      <c r="G126" s="4"/>
      <c r="H126" s="4"/>
      <c r="I126" s="4"/>
      <c r="J126" s="4"/>
      <c r="K126" s="4"/>
      <c r="L126" s="4"/>
      <c r="M126" s="5"/>
      <c r="N126" s="5"/>
      <c r="O126" s="5"/>
      <c r="P126" s="3"/>
      <c r="Q126" s="6"/>
    </row>
    <row r="127" spans="1:17" x14ac:dyDescent="0.4">
      <c r="A127" s="2"/>
      <c r="E127" s="7"/>
      <c r="F127" s="4"/>
      <c r="G127" s="4"/>
      <c r="H127" s="4"/>
      <c r="I127" s="4"/>
      <c r="J127" s="4"/>
      <c r="K127" s="4"/>
      <c r="L127" s="4"/>
      <c r="M127" s="5"/>
      <c r="N127" s="5"/>
      <c r="O127" s="5"/>
      <c r="P127" s="3"/>
      <c r="Q127" s="6"/>
    </row>
    <row r="128" spans="1:17" x14ac:dyDescent="0.4">
      <c r="A128" s="2"/>
      <c r="E128" s="7"/>
      <c r="F128" s="4"/>
      <c r="G128" s="4"/>
      <c r="H128" s="4"/>
      <c r="I128" s="4"/>
      <c r="J128" s="4"/>
      <c r="K128" s="4"/>
      <c r="L128" s="4"/>
      <c r="M128" s="5"/>
      <c r="N128" s="5"/>
      <c r="O128" s="5"/>
      <c r="P128" s="3"/>
      <c r="Q128" s="6"/>
    </row>
    <row r="129" spans="1:17" x14ac:dyDescent="0.4">
      <c r="A129" s="2"/>
      <c r="E129" s="7"/>
      <c r="F129" s="4"/>
      <c r="G129" s="4"/>
      <c r="H129" s="4"/>
      <c r="I129" s="4"/>
      <c r="J129" s="4"/>
      <c r="K129" s="4"/>
      <c r="L129" s="4"/>
      <c r="M129" s="5"/>
      <c r="N129" s="5"/>
      <c r="O129" s="5"/>
      <c r="P129" s="3"/>
      <c r="Q129" s="6"/>
    </row>
    <row r="130" spans="1:17" x14ac:dyDescent="0.4">
      <c r="A130" s="2"/>
      <c r="E130" s="7"/>
      <c r="F130" s="4"/>
      <c r="G130" s="4"/>
      <c r="H130" s="4"/>
      <c r="I130" s="4"/>
      <c r="J130" s="4"/>
      <c r="K130" s="4"/>
      <c r="L130" s="4"/>
      <c r="M130" s="5"/>
      <c r="N130" s="5"/>
      <c r="O130" s="5"/>
      <c r="P130" s="3"/>
      <c r="Q130" s="6"/>
    </row>
    <row r="131" spans="1:17" x14ac:dyDescent="0.4">
      <c r="A131" s="2"/>
      <c r="E131" s="7"/>
      <c r="F131" s="4"/>
      <c r="G131" s="4"/>
      <c r="H131" s="4"/>
      <c r="I131" s="4"/>
      <c r="J131" s="4"/>
      <c r="K131" s="4"/>
      <c r="L131" s="4"/>
      <c r="M131" s="5"/>
      <c r="N131" s="5"/>
      <c r="O131" s="5"/>
      <c r="P131" s="3"/>
      <c r="Q131" s="6"/>
    </row>
    <row r="132" spans="1:17" x14ac:dyDescent="0.4">
      <c r="A132" s="2"/>
      <c r="E132" s="7"/>
      <c r="F132" s="4"/>
      <c r="G132" s="4"/>
      <c r="H132" s="4"/>
      <c r="I132" s="4"/>
      <c r="J132" s="4"/>
      <c r="K132" s="4"/>
      <c r="L132" s="4"/>
      <c r="M132" s="5"/>
      <c r="N132" s="5"/>
      <c r="O132" s="5"/>
      <c r="P132" s="3"/>
      <c r="Q132" s="6"/>
    </row>
    <row r="133" spans="1:17" x14ac:dyDescent="0.4">
      <c r="A133" s="2"/>
      <c r="E133" s="7"/>
      <c r="F133" s="4"/>
      <c r="G133" s="4"/>
      <c r="H133" s="4"/>
      <c r="I133" s="4"/>
      <c r="J133" s="4"/>
      <c r="K133" s="4"/>
      <c r="L133" s="4"/>
      <c r="M133" s="5"/>
      <c r="N133" s="5"/>
      <c r="O133" s="5"/>
      <c r="P133" s="3"/>
      <c r="Q133" s="6"/>
    </row>
    <row r="134" spans="1:17" x14ac:dyDescent="0.4">
      <c r="A134" s="2"/>
      <c r="E134" s="7"/>
      <c r="F134" s="4"/>
      <c r="G134" s="4"/>
      <c r="H134" s="4"/>
      <c r="I134" s="4"/>
      <c r="J134" s="4"/>
      <c r="K134" s="4"/>
      <c r="L134" s="4"/>
      <c r="M134" s="5"/>
      <c r="N134" s="5"/>
      <c r="O134" s="5"/>
      <c r="P134" s="3"/>
      <c r="Q134" s="6"/>
    </row>
    <row r="135" spans="1:17" x14ac:dyDescent="0.4">
      <c r="A135" s="2"/>
      <c r="E135" s="7"/>
      <c r="F135" s="4"/>
      <c r="G135" s="4"/>
      <c r="H135" s="4"/>
      <c r="I135" s="4"/>
      <c r="J135" s="4"/>
      <c r="K135" s="4"/>
      <c r="L135" s="4"/>
      <c r="M135" s="5"/>
      <c r="N135" s="5"/>
      <c r="O135" s="5"/>
      <c r="P135" s="3"/>
      <c r="Q135" s="6"/>
    </row>
    <row r="136" spans="1:17" x14ac:dyDescent="0.4">
      <c r="A136" s="2"/>
      <c r="E136" s="7"/>
      <c r="F136" s="4"/>
      <c r="G136" s="4"/>
      <c r="H136" s="4"/>
      <c r="I136" s="4"/>
      <c r="J136" s="4"/>
      <c r="K136" s="4"/>
      <c r="L136" s="4"/>
      <c r="M136" s="5"/>
      <c r="N136" s="5"/>
      <c r="O136" s="5"/>
      <c r="P136" s="3"/>
      <c r="Q136" s="6"/>
    </row>
    <row r="137" spans="1:17" x14ac:dyDescent="0.4">
      <c r="A137" s="2"/>
      <c r="E137" s="7"/>
      <c r="F137" s="4"/>
      <c r="G137" s="4"/>
      <c r="H137" s="4"/>
      <c r="I137" s="4"/>
      <c r="J137" s="4"/>
      <c r="K137" s="4"/>
      <c r="L137" s="4"/>
      <c r="M137" s="5"/>
      <c r="N137" s="5"/>
      <c r="O137" s="5"/>
      <c r="P137" s="3"/>
      <c r="Q137" s="6"/>
    </row>
    <row r="138" spans="1:17" x14ac:dyDescent="0.4">
      <c r="A138" s="2"/>
      <c r="E138" s="7"/>
      <c r="F138" s="4"/>
      <c r="G138" s="4"/>
      <c r="H138" s="4"/>
      <c r="I138" s="4"/>
      <c r="J138" s="4"/>
      <c r="K138" s="4"/>
      <c r="L138" s="4"/>
      <c r="M138" s="5"/>
      <c r="N138" s="5"/>
      <c r="O138" s="5"/>
      <c r="P138" s="3"/>
      <c r="Q138" s="6"/>
    </row>
    <row r="139" spans="1:17" x14ac:dyDescent="0.4">
      <c r="A139" s="2"/>
      <c r="E139" s="7"/>
      <c r="F139" s="4"/>
      <c r="G139" s="4"/>
      <c r="H139" s="4"/>
      <c r="I139" s="4"/>
      <c r="J139" s="4"/>
      <c r="K139" s="4"/>
      <c r="L139" s="4"/>
      <c r="M139" s="5"/>
      <c r="N139" s="5"/>
      <c r="O139" s="5"/>
      <c r="P139" s="3"/>
      <c r="Q139" s="6"/>
    </row>
    <row r="140" spans="1:17" x14ac:dyDescent="0.4">
      <c r="A140" s="2"/>
      <c r="E140" s="7"/>
      <c r="F140" s="4"/>
      <c r="G140" s="4"/>
      <c r="H140" s="4"/>
      <c r="I140" s="4"/>
      <c r="J140" s="4"/>
      <c r="K140" s="4"/>
      <c r="L140" s="4"/>
      <c r="M140" s="5"/>
      <c r="N140" s="5"/>
      <c r="O140" s="5"/>
      <c r="P140" s="3"/>
      <c r="Q140" s="6"/>
    </row>
    <row r="141" spans="1:17" x14ac:dyDescent="0.4">
      <c r="A141" s="2"/>
      <c r="E141" s="7"/>
      <c r="F141" s="4"/>
      <c r="G141" s="4"/>
      <c r="H141" s="4"/>
      <c r="I141" s="4"/>
      <c r="J141" s="4"/>
      <c r="K141" s="4"/>
      <c r="L141" s="4"/>
      <c r="M141" s="5"/>
      <c r="N141" s="5"/>
      <c r="O141" s="5"/>
      <c r="P141" s="3"/>
      <c r="Q141" s="6"/>
    </row>
    <row r="142" spans="1:17" x14ac:dyDescent="0.4">
      <c r="A142" s="2"/>
      <c r="E142" s="7"/>
      <c r="F142" s="4"/>
      <c r="G142" s="4"/>
      <c r="H142" s="4"/>
      <c r="I142" s="4"/>
      <c r="J142" s="4"/>
      <c r="K142" s="4"/>
      <c r="L142" s="4"/>
      <c r="M142" s="5"/>
      <c r="N142" s="5"/>
      <c r="O142" s="5"/>
      <c r="P142" s="3"/>
      <c r="Q142" s="6"/>
    </row>
    <row r="143" spans="1:17" x14ac:dyDescent="0.4">
      <c r="A143" s="2"/>
      <c r="E143" s="7"/>
      <c r="F143" s="4"/>
      <c r="G143" s="4"/>
      <c r="H143" s="4"/>
      <c r="I143" s="4"/>
      <c r="J143" s="4"/>
      <c r="K143" s="4"/>
      <c r="L143" s="4"/>
      <c r="M143" s="5"/>
      <c r="N143" s="5"/>
      <c r="O143" s="5"/>
      <c r="P143" s="3"/>
      <c r="Q143" s="6"/>
    </row>
    <row r="144" spans="1:17" x14ac:dyDescent="0.4">
      <c r="A144" s="2"/>
      <c r="E144" s="7"/>
      <c r="F144" s="4"/>
      <c r="G144" s="4"/>
      <c r="H144" s="4"/>
      <c r="I144" s="4"/>
      <c r="J144" s="4"/>
      <c r="K144" s="4"/>
      <c r="L144" s="4"/>
      <c r="M144" s="5"/>
      <c r="N144" s="5"/>
      <c r="O144" s="5"/>
      <c r="P144" s="3"/>
      <c r="Q144" s="6"/>
    </row>
    <row r="145" spans="1:17" x14ac:dyDescent="0.4">
      <c r="A145" s="2"/>
      <c r="E145" s="7"/>
      <c r="F145" s="4"/>
      <c r="G145" s="4"/>
      <c r="H145" s="4"/>
      <c r="I145" s="4"/>
      <c r="J145" s="4"/>
      <c r="K145" s="4"/>
      <c r="L145" s="4"/>
      <c r="M145" s="5"/>
      <c r="N145" s="5"/>
      <c r="O145" s="5"/>
      <c r="P145" s="3"/>
      <c r="Q145" s="6"/>
    </row>
    <row r="146" spans="1:17" x14ac:dyDescent="0.4">
      <c r="A146" s="2"/>
      <c r="E146" s="7"/>
      <c r="F146" s="4"/>
      <c r="G146" s="4"/>
      <c r="H146" s="4"/>
      <c r="I146" s="4"/>
      <c r="J146" s="4"/>
      <c r="K146" s="4"/>
      <c r="L146" s="4"/>
      <c r="M146" s="5"/>
      <c r="N146" s="5"/>
      <c r="O146" s="5"/>
      <c r="P146" s="3"/>
      <c r="Q146" s="6"/>
    </row>
    <row r="147" spans="1:17" x14ac:dyDescent="0.4">
      <c r="A147" s="2"/>
      <c r="E147" s="7"/>
      <c r="F147" s="4"/>
      <c r="G147" s="4"/>
      <c r="H147" s="4"/>
      <c r="I147" s="4"/>
      <c r="J147" s="4"/>
      <c r="K147" s="4"/>
      <c r="L147" s="4"/>
      <c r="M147" s="5"/>
      <c r="N147" s="5"/>
      <c r="O147" s="5"/>
      <c r="P147" s="3"/>
      <c r="Q147" s="6"/>
    </row>
    <row r="148" spans="1:17" x14ac:dyDescent="0.4">
      <c r="A148" s="2"/>
      <c r="E148" s="7"/>
      <c r="F148" s="4"/>
      <c r="G148" s="4"/>
      <c r="H148" s="4"/>
      <c r="I148" s="4"/>
      <c r="J148" s="4"/>
      <c r="K148" s="4"/>
      <c r="L148" s="4"/>
      <c r="M148" s="5"/>
      <c r="N148" s="5"/>
      <c r="O148" s="5"/>
      <c r="P148" s="3"/>
      <c r="Q148" s="6"/>
    </row>
    <row r="149" spans="1:17" x14ac:dyDescent="0.4">
      <c r="A149" s="2"/>
      <c r="E149" s="7"/>
      <c r="F149" s="4"/>
      <c r="G149" s="4"/>
      <c r="H149" s="4"/>
      <c r="I149" s="4"/>
      <c r="J149" s="4"/>
      <c r="K149" s="4"/>
      <c r="L149" s="4"/>
      <c r="M149" s="5"/>
      <c r="N149" s="5"/>
      <c r="O149" s="5"/>
      <c r="P149" s="3"/>
      <c r="Q149" s="6"/>
    </row>
    <row r="150" spans="1:17" x14ac:dyDescent="0.4">
      <c r="A150" s="2"/>
      <c r="E150" s="7"/>
      <c r="F150" s="4"/>
      <c r="G150" s="4"/>
      <c r="H150" s="4"/>
      <c r="I150" s="4"/>
      <c r="J150" s="4"/>
      <c r="K150" s="4"/>
      <c r="L150" s="4"/>
      <c r="M150" s="5"/>
      <c r="N150" s="5"/>
      <c r="O150" s="5"/>
      <c r="P150" s="3"/>
      <c r="Q150" s="6"/>
    </row>
    <row r="151" spans="1:17" x14ac:dyDescent="0.4">
      <c r="A151" s="2"/>
      <c r="E151" s="7"/>
      <c r="F151" s="4"/>
      <c r="G151" s="4"/>
      <c r="H151" s="4"/>
      <c r="I151" s="4"/>
      <c r="J151" s="4"/>
      <c r="K151" s="4"/>
      <c r="L151" s="4"/>
      <c r="M151" s="5"/>
      <c r="N151" s="5"/>
      <c r="O151" s="5"/>
      <c r="P151" s="3"/>
      <c r="Q151" s="6"/>
    </row>
    <row r="152" spans="1:17" x14ac:dyDescent="0.4">
      <c r="A152" s="2"/>
      <c r="E152" s="7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3"/>
      <c r="Q152" s="6"/>
    </row>
    <row r="153" spans="1:17" x14ac:dyDescent="0.4">
      <c r="A153" s="2"/>
      <c r="E153" s="7"/>
      <c r="F153" s="4"/>
      <c r="G153" s="4"/>
      <c r="H153" s="4"/>
      <c r="I153" s="4"/>
      <c r="J153" s="4"/>
      <c r="K153" s="4"/>
      <c r="L153" s="4"/>
      <c r="M153" s="5"/>
      <c r="N153" s="5"/>
      <c r="O153" s="5"/>
      <c r="P153" s="3"/>
      <c r="Q153" s="6"/>
    </row>
    <row r="154" spans="1:17" x14ac:dyDescent="0.4">
      <c r="A154" s="2"/>
      <c r="E154" s="7"/>
      <c r="F154" s="4"/>
      <c r="G154" s="4"/>
      <c r="H154" s="4"/>
      <c r="I154" s="4"/>
      <c r="J154" s="4"/>
      <c r="K154" s="4"/>
      <c r="L154" s="4"/>
      <c r="M154" s="5"/>
      <c r="N154" s="5"/>
      <c r="O154" s="5"/>
      <c r="P154" s="3"/>
      <c r="Q154" s="6"/>
    </row>
    <row r="155" spans="1:17" x14ac:dyDescent="0.4">
      <c r="A155" s="2"/>
      <c r="E155" s="7"/>
      <c r="F155" s="4"/>
      <c r="G155" s="4"/>
      <c r="H155" s="4"/>
      <c r="I155" s="4"/>
      <c r="J155" s="4"/>
      <c r="K155" s="4"/>
      <c r="L155" s="4"/>
      <c r="M155" s="5"/>
      <c r="N155" s="5"/>
      <c r="O155" s="5"/>
      <c r="P155" s="3"/>
      <c r="Q155" s="6"/>
    </row>
    <row r="156" spans="1:17" x14ac:dyDescent="0.4">
      <c r="A156" s="2"/>
      <c r="E156" s="7"/>
      <c r="F156" s="4"/>
      <c r="G156" s="4"/>
      <c r="H156" s="4"/>
      <c r="I156" s="4"/>
      <c r="J156" s="4"/>
      <c r="K156" s="4"/>
      <c r="L156" s="4"/>
      <c r="M156" s="5"/>
      <c r="N156" s="5"/>
      <c r="O156" s="5"/>
      <c r="P156" s="3"/>
      <c r="Q156" s="6"/>
    </row>
    <row r="157" spans="1:17" x14ac:dyDescent="0.4">
      <c r="A157" s="2"/>
      <c r="E157" s="7"/>
      <c r="F157" s="4"/>
      <c r="G157" s="4"/>
      <c r="H157" s="4"/>
      <c r="I157" s="4"/>
      <c r="J157" s="4"/>
      <c r="K157" s="4"/>
      <c r="L157" s="4"/>
      <c r="M157" s="5"/>
      <c r="N157" s="5"/>
      <c r="O157" s="5"/>
      <c r="P157" s="3"/>
      <c r="Q157" s="6"/>
    </row>
    <row r="158" spans="1:17" x14ac:dyDescent="0.4">
      <c r="A158" s="2"/>
      <c r="E158" s="7"/>
      <c r="F158" s="4"/>
      <c r="G158" s="4"/>
      <c r="H158" s="4"/>
      <c r="I158" s="4"/>
      <c r="J158" s="4"/>
      <c r="K158" s="4"/>
      <c r="L158" s="4"/>
      <c r="M158" s="5"/>
      <c r="N158" s="5"/>
      <c r="O158" s="5"/>
      <c r="P158" s="3"/>
      <c r="Q158" s="6"/>
    </row>
    <row r="159" spans="1:17" x14ac:dyDescent="0.4">
      <c r="A159" s="2"/>
      <c r="E159" s="7"/>
      <c r="F159" s="4"/>
      <c r="G159" s="4"/>
      <c r="H159" s="4"/>
      <c r="I159" s="4"/>
      <c r="J159" s="4"/>
      <c r="K159" s="4"/>
      <c r="L159" s="4"/>
      <c r="M159" s="5"/>
      <c r="N159" s="5"/>
      <c r="O159" s="5"/>
      <c r="P159" s="3"/>
      <c r="Q159" s="6"/>
    </row>
    <row r="160" spans="1:17" x14ac:dyDescent="0.4">
      <c r="A160" s="2"/>
      <c r="E160" s="7"/>
      <c r="F160" s="4"/>
      <c r="G160" s="4"/>
      <c r="H160" s="4"/>
      <c r="I160" s="4"/>
      <c r="J160" s="4"/>
      <c r="K160" s="4"/>
      <c r="L160" s="4"/>
      <c r="M160" s="5"/>
      <c r="N160" s="5"/>
      <c r="O160" s="5"/>
      <c r="P160" s="3"/>
      <c r="Q160" s="6"/>
    </row>
    <row r="161" spans="1:17" x14ac:dyDescent="0.4">
      <c r="A161" s="2"/>
      <c r="E161" s="7"/>
      <c r="F161" s="4"/>
      <c r="G161" s="4"/>
      <c r="H161" s="4"/>
      <c r="I161" s="4"/>
      <c r="J161" s="4"/>
      <c r="K161" s="4"/>
      <c r="L161" s="4"/>
      <c r="M161" s="5"/>
      <c r="N161" s="5"/>
      <c r="O161" s="5"/>
      <c r="P161" s="3"/>
      <c r="Q161" s="6"/>
    </row>
    <row r="162" spans="1:17" x14ac:dyDescent="0.4">
      <c r="A162" s="2"/>
      <c r="E162" s="7"/>
      <c r="F162" s="4"/>
      <c r="G162" s="4"/>
      <c r="H162" s="4"/>
      <c r="I162" s="4"/>
      <c r="J162" s="4"/>
      <c r="K162" s="4"/>
      <c r="L162" s="4"/>
      <c r="M162" s="5"/>
      <c r="N162" s="5"/>
      <c r="O162" s="5"/>
      <c r="P162" s="3"/>
      <c r="Q162" s="6"/>
    </row>
    <row r="163" spans="1:17" x14ac:dyDescent="0.4">
      <c r="A163" s="2"/>
      <c r="E163" s="7"/>
      <c r="F163" s="4"/>
      <c r="G163" s="4"/>
      <c r="H163" s="4"/>
      <c r="I163" s="4"/>
      <c r="J163" s="4"/>
      <c r="K163" s="4"/>
      <c r="L163" s="4"/>
      <c r="M163" s="5"/>
      <c r="N163" s="5"/>
      <c r="O163" s="5"/>
      <c r="P163" s="3"/>
      <c r="Q163" s="6"/>
    </row>
    <row r="164" spans="1:17" x14ac:dyDescent="0.4">
      <c r="A164" s="2"/>
      <c r="E164" s="7"/>
      <c r="F164" s="4"/>
      <c r="G164" s="4"/>
      <c r="H164" s="4"/>
      <c r="I164" s="4"/>
      <c r="J164" s="4"/>
      <c r="K164" s="4"/>
      <c r="L164" s="4"/>
      <c r="M164" s="5"/>
      <c r="N164" s="5"/>
      <c r="O164" s="5"/>
      <c r="P164" s="3"/>
      <c r="Q164" s="6"/>
    </row>
    <row r="165" spans="1:17" x14ac:dyDescent="0.4">
      <c r="A165" s="2"/>
      <c r="E165" s="7"/>
      <c r="F165" s="4"/>
      <c r="G165" s="4"/>
      <c r="H165" s="4"/>
      <c r="I165" s="4"/>
      <c r="J165" s="4"/>
      <c r="K165" s="4"/>
      <c r="L165" s="4"/>
      <c r="M165" s="5"/>
      <c r="N165" s="5"/>
      <c r="O165" s="5"/>
      <c r="P165" s="3"/>
      <c r="Q165" s="6"/>
    </row>
    <row r="166" spans="1:17" x14ac:dyDescent="0.4">
      <c r="A166" s="2"/>
      <c r="E166" s="7"/>
      <c r="F166" s="4"/>
      <c r="G166" s="4"/>
      <c r="H166" s="4"/>
      <c r="I166" s="4"/>
      <c r="J166" s="4"/>
      <c r="K166" s="4"/>
      <c r="L166" s="4"/>
      <c r="M166" s="5"/>
      <c r="N166" s="5"/>
      <c r="O166" s="5"/>
      <c r="P166" s="3"/>
      <c r="Q166" s="6"/>
    </row>
    <row r="167" spans="1:17" x14ac:dyDescent="0.4">
      <c r="A167" s="2"/>
      <c r="E167" s="7"/>
      <c r="F167" s="4"/>
      <c r="G167" s="4"/>
      <c r="H167" s="4"/>
      <c r="I167" s="4"/>
      <c r="J167" s="4"/>
      <c r="K167" s="4"/>
      <c r="L167" s="4"/>
      <c r="M167" s="5"/>
      <c r="N167" s="5"/>
      <c r="O167" s="5"/>
      <c r="P167" s="3"/>
      <c r="Q167" s="6"/>
    </row>
    <row r="168" spans="1:17" x14ac:dyDescent="0.4">
      <c r="A168" s="2"/>
      <c r="E168" s="7"/>
      <c r="F168" s="4"/>
      <c r="G168" s="4"/>
      <c r="H168" s="4"/>
      <c r="I168" s="4"/>
      <c r="J168" s="4"/>
      <c r="K168" s="4"/>
      <c r="L168" s="4"/>
      <c r="M168" s="5"/>
      <c r="N168" s="5"/>
      <c r="O168" s="5"/>
      <c r="P168" s="3"/>
      <c r="Q168" s="6"/>
    </row>
    <row r="169" spans="1:17" x14ac:dyDescent="0.4">
      <c r="A169" s="2"/>
      <c r="E169" s="7"/>
      <c r="F169" s="4"/>
      <c r="G169" s="4"/>
      <c r="H169" s="4"/>
      <c r="I169" s="4"/>
      <c r="J169" s="4"/>
      <c r="K169" s="4"/>
      <c r="L169" s="4"/>
      <c r="M169" s="5"/>
      <c r="N169" s="5"/>
      <c r="O169" s="5"/>
      <c r="P169" s="3"/>
      <c r="Q169" s="6"/>
    </row>
    <row r="170" spans="1:17" x14ac:dyDescent="0.4">
      <c r="A170" s="2"/>
      <c r="E170" s="7"/>
      <c r="F170" s="4"/>
      <c r="G170" s="4"/>
      <c r="H170" s="4"/>
      <c r="I170" s="4"/>
      <c r="J170" s="4"/>
      <c r="K170" s="4"/>
      <c r="L170" s="4"/>
      <c r="M170" s="5"/>
      <c r="N170" s="5"/>
      <c r="O170" s="5"/>
      <c r="P170" s="3"/>
      <c r="Q170" s="6"/>
    </row>
    <row r="171" spans="1:17" x14ac:dyDescent="0.4">
      <c r="A171" s="2"/>
      <c r="E171" s="7"/>
      <c r="F171" s="4"/>
      <c r="G171" s="4"/>
      <c r="H171" s="4"/>
      <c r="I171" s="4"/>
      <c r="J171" s="4"/>
      <c r="K171" s="4"/>
      <c r="L171" s="4"/>
      <c r="M171" s="5"/>
      <c r="N171" s="5"/>
      <c r="O171" s="5"/>
      <c r="P171" s="3"/>
      <c r="Q171" s="6"/>
    </row>
    <row r="172" spans="1:17" x14ac:dyDescent="0.4">
      <c r="A172" s="2"/>
      <c r="E172" s="7"/>
      <c r="F172" s="4"/>
      <c r="G172" s="4"/>
      <c r="H172" s="4"/>
      <c r="I172" s="4"/>
      <c r="J172" s="4"/>
      <c r="K172" s="4"/>
      <c r="L172" s="4"/>
      <c r="M172" s="5"/>
      <c r="N172" s="5"/>
      <c r="O172" s="5"/>
      <c r="P172" s="3"/>
      <c r="Q172" s="6"/>
    </row>
    <row r="173" spans="1:17" x14ac:dyDescent="0.4">
      <c r="A173" s="2"/>
      <c r="E173" s="7"/>
      <c r="F173" s="4"/>
      <c r="G173" s="4"/>
      <c r="H173" s="4"/>
      <c r="I173" s="4"/>
      <c r="J173" s="4"/>
      <c r="K173" s="4"/>
      <c r="L173" s="4"/>
      <c r="M173" s="5"/>
      <c r="N173" s="5"/>
      <c r="O173" s="5"/>
      <c r="P173" s="3"/>
      <c r="Q173" s="6"/>
    </row>
    <row r="174" spans="1:17" x14ac:dyDescent="0.4">
      <c r="A174" s="2"/>
      <c r="E174" s="7"/>
      <c r="F174" s="4"/>
      <c r="G174" s="4"/>
      <c r="H174" s="4"/>
      <c r="I174" s="4"/>
      <c r="J174" s="4"/>
      <c r="K174" s="4"/>
      <c r="L174" s="4"/>
      <c r="M174" s="5"/>
      <c r="N174" s="5"/>
      <c r="O174" s="5"/>
      <c r="P174" s="3"/>
      <c r="Q174" s="6"/>
    </row>
    <row r="175" spans="1:17" x14ac:dyDescent="0.4">
      <c r="A175" s="2"/>
      <c r="E175" s="7"/>
      <c r="F175" s="4"/>
      <c r="G175" s="4"/>
      <c r="H175" s="4"/>
      <c r="I175" s="4"/>
      <c r="J175" s="4"/>
      <c r="K175" s="4"/>
      <c r="L175" s="4"/>
      <c r="M175" s="5"/>
      <c r="N175" s="5"/>
      <c r="O175" s="5"/>
      <c r="P175" s="3"/>
      <c r="Q175" s="6"/>
    </row>
    <row r="176" spans="1:17" x14ac:dyDescent="0.4">
      <c r="A176" s="2"/>
      <c r="E176" s="7"/>
      <c r="F176" s="4"/>
      <c r="G176" s="4"/>
      <c r="H176" s="4"/>
      <c r="I176" s="4"/>
      <c r="J176" s="4"/>
      <c r="K176" s="4"/>
      <c r="L176" s="4"/>
      <c r="M176" s="5"/>
      <c r="N176" s="5"/>
      <c r="O176" s="5"/>
      <c r="P176" s="3"/>
      <c r="Q176" s="6"/>
    </row>
    <row r="177" spans="1:17" x14ac:dyDescent="0.4">
      <c r="A177" s="2"/>
      <c r="E177" s="7"/>
      <c r="F177" s="4"/>
      <c r="G177" s="4"/>
      <c r="H177" s="4"/>
      <c r="I177" s="4"/>
      <c r="J177" s="4"/>
      <c r="K177" s="4"/>
      <c r="L177" s="4"/>
      <c r="M177" s="5"/>
      <c r="N177" s="5"/>
      <c r="O177" s="5"/>
      <c r="P177" s="3"/>
      <c r="Q177" s="6"/>
    </row>
    <row r="178" spans="1:17" x14ac:dyDescent="0.4">
      <c r="A178" s="2"/>
      <c r="E178" s="7"/>
      <c r="F178" s="4"/>
      <c r="G178" s="4"/>
      <c r="H178" s="4"/>
      <c r="I178" s="4"/>
      <c r="J178" s="4"/>
      <c r="K178" s="4"/>
      <c r="L178" s="4"/>
      <c r="M178" s="5"/>
      <c r="N178" s="5"/>
      <c r="O178" s="5"/>
      <c r="P178" s="3"/>
      <c r="Q178" s="6"/>
    </row>
    <row r="179" spans="1:17" x14ac:dyDescent="0.4">
      <c r="A179" s="2"/>
      <c r="E179" s="7"/>
      <c r="F179" s="4"/>
      <c r="G179" s="4"/>
      <c r="H179" s="4"/>
      <c r="I179" s="4"/>
      <c r="J179" s="4"/>
      <c r="K179" s="4"/>
      <c r="L179" s="4"/>
      <c r="M179" s="5"/>
      <c r="N179" s="5"/>
      <c r="O179" s="5"/>
      <c r="P179" s="3"/>
      <c r="Q179" s="6"/>
    </row>
    <row r="180" spans="1:17" x14ac:dyDescent="0.4">
      <c r="A180" s="2"/>
      <c r="E180" s="7"/>
      <c r="F180" s="4"/>
      <c r="G180" s="4"/>
      <c r="H180" s="4"/>
      <c r="I180" s="4"/>
      <c r="J180" s="4"/>
      <c r="K180" s="4"/>
      <c r="L180" s="4"/>
      <c r="M180" s="5"/>
      <c r="N180" s="5"/>
      <c r="O180" s="5"/>
      <c r="P180" s="3"/>
      <c r="Q180" s="6"/>
    </row>
    <row r="181" spans="1:17" x14ac:dyDescent="0.4">
      <c r="A181" s="2"/>
      <c r="E181" s="7"/>
      <c r="F181" s="4"/>
      <c r="G181" s="4"/>
      <c r="H181" s="4"/>
      <c r="I181" s="4"/>
      <c r="J181" s="4"/>
      <c r="K181" s="4"/>
      <c r="L181" s="4"/>
      <c r="M181" s="5"/>
      <c r="N181" s="5"/>
      <c r="O181" s="5"/>
      <c r="P181" s="3"/>
      <c r="Q181" s="6"/>
    </row>
    <row r="182" spans="1:17" x14ac:dyDescent="0.4">
      <c r="A182" s="2"/>
      <c r="E182" s="7"/>
      <c r="F182" s="4"/>
      <c r="G182" s="4"/>
      <c r="H182" s="4"/>
      <c r="I182" s="4"/>
      <c r="J182" s="4"/>
      <c r="K182" s="4"/>
      <c r="L182" s="4"/>
      <c r="M182" s="5"/>
      <c r="N182" s="5"/>
      <c r="O182" s="5"/>
      <c r="P182" s="3"/>
      <c r="Q182" s="6"/>
    </row>
    <row r="183" spans="1:17" x14ac:dyDescent="0.4">
      <c r="A183" s="2"/>
      <c r="E183" s="7"/>
      <c r="F183" s="4"/>
      <c r="G183" s="4"/>
      <c r="H183" s="4"/>
      <c r="I183" s="4"/>
      <c r="J183" s="4"/>
      <c r="K183" s="4"/>
      <c r="L183" s="4"/>
      <c r="M183" s="5"/>
      <c r="N183" s="5"/>
      <c r="O183" s="5"/>
      <c r="P183" s="3"/>
      <c r="Q183" s="6"/>
    </row>
    <row r="184" spans="1:17" x14ac:dyDescent="0.4">
      <c r="A184" s="2"/>
      <c r="E184" s="7"/>
      <c r="F184" s="4"/>
      <c r="G184" s="4"/>
      <c r="H184" s="4"/>
      <c r="I184" s="4"/>
      <c r="J184" s="4"/>
      <c r="K184" s="4"/>
      <c r="L184" s="4"/>
      <c r="M184" s="5"/>
      <c r="N184" s="5"/>
      <c r="O184" s="5"/>
      <c r="P184" s="3"/>
      <c r="Q184" s="6"/>
    </row>
    <row r="185" spans="1:17" x14ac:dyDescent="0.4">
      <c r="A185" s="2"/>
      <c r="E185" s="7"/>
      <c r="F185" s="4"/>
      <c r="G185" s="4"/>
      <c r="H185" s="4"/>
      <c r="I185" s="4"/>
      <c r="J185" s="4"/>
      <c r="K185" s="4"/>
      <c r="L185" s="4"/>
      <c r="M185" s="5"/>
      <c r="N185" s="5"/>
      <c r="O185" s="5"/>
      <c r="P185" s="3"/>
      <c r="Q185" s="6"/>
    </row>
    <row r="186" spans="1:17" x14ac:dyDescent="0.4">
      <c r="A186" s="2"/>
      <c r="E186" s="7"/>
      <c r="F186" s="4"/>
      <c r="G186" s="4"/>
      <c r="H186" s="4"/>
      <c r="I186" s="4"/>
      <c r="J186" s="4"/>
      <c r="K186" s="4"/>
      <c r="L186" s="4"/>
      <c r="M186" s="5"/>
      <c r="N186" s="5"/>
      <c r="O186" s="5"/>
      <c r="P186" s="3"/>
      <c r="Q186" s="6"/>
    </row>
    <row r="187" spans="1:17" x14ac:dyDescent="0.4">
      <c r="A187" s="2"/>
      <c r="E187" s="7"/>
      <c r="F187" s="4"/>
      <c r="G187" s="4"/>
      <c r="H187" s="4"/>
      <c r="I187" s="4"/>
      <c r="J187" s="4"/>
      <c r="K187" s="4"/>
      <c r="L187" s="4"/>
      <c r="M187" s="5"/>
      <c r="N187" s="5"/>
      <c r="O187" s="5"/>
      <c r="P187" s="3"/>
      <c r="Q187" s="6"/>
    </row>
    <row r="188" spans="1:17" x14ac:dyDescent="0.4">
      <c r="A188" s="2"/>
      <c r="E188" s="7"/>
      <c r="F188" s="4"/>
      <c r="G188" s="4"/>
      <c r="H188" s="4"/>
      <c r="I188" s="4"/>
      <c r="J188" s="4"/>
      <c r="K188" s="4"/>
      <c r="L188" s="4"/>
      <c r="M188" s="5"/>
      <c r="N188" s="5"/>
      <c r="O188" s="5"/>
      <c r="P188" s="3"/>
      <c r="Q188" s="6"/>
    </row>
    <row r="189" spans="1:17" x14ac:dyDescent="0.4">
      <c r="A189" s="2"/>
      <c r="E189" s="7"/>
      <c r="F189" s="4"/>
      <c r="G189" s="4"/>
      <c r="H189" s="4"/>
      <c r="I189" s="4"/>
      <c r="J189" s="4"/>
      <c r="K189" s="4"/>
      <c r="L189" s="4"/>
      <c r="M189" s="5"/>
      <c r="N189" s="5"/>
      <c r="O189" s="5"/>
      <c r="P189" s="3"/>
      <c r="Q189" s="6"/>
    </row>
    <row r="190" spans="1:17" x14ac:dyDescent="0.4">
      <c r="A190" s="2"/>
      <c r="E190" s="7"/>
      <c r="F190" s="4"/>
      <c r="G190" s="4"/>
      <c r="H190" s="4"/>
      <c r="I190" s="4"/>
      <c r="J190" s="4"/>
      <c r="K190" s="4"/>
      <c r="L190" s="4"/>
      <c r="M190" s="5"/>
      <c r="N190" s="5"/>
      <c r="O190" s="5"/>
      <c r="P190" s="3"/>
      <c r="Q190" s="6"/>
    </row>
    <row r="191" spans="1:17" x14ac:dyDescent="0.4">
      <c r="A191" s="2"/>
      <c r="E191" s="7"/>
      <c r="F191" s="4"/>
      <c r="G191" s="4"/>
      <c r="H191" s="4"/>
      <c r="I191" s="4"/>
      <c r="J191" s="4"/>
      <c r="K191" s="4"/>
      <c r="L191" s="4"/>
      <c r="M191" s="5"/>
      <c r="N191" s="5"/>
      <c r="O191" s="5"/>
      <c r="P191" s="3"/>
      <c r="Q191" s="6"/>
    </row>
    <row r="192" spans="1:17" x14ac:dyDescent="0.4">
      <c r="A192" s="2"/>
      <c r="E192" s="7"/>
      <c r="F192" s="4"/>
      <c r="G192" s="4"/>
      <c r="H192" s="4"/>
      <c r="I192" s="4"/>
      <c r="J192" s="4"/>
      <c r="K192" s="4"/>
      <c r="L192" s="4"/>
      <c r="M192" s="5"/>
      <c r="N192" s="5"/>
      <c r="O192" s="5"/>
      <c r="P192" s="3"/>
      <c r="Q192" s="6"/>
    </row>
    <row r="193" spans="1:17" x14ac:dyDescent="0.4">
      <c r="A193" s="2"/>
      <c r="E193" s="7"/>
      <c r="F193" s="4"/>
      <c r="G193" s="4"/>
      <c r="H193" s="4"/>
      <c r="I193" s="4"/>
      <c r="J193" s="4"/>
      <c r="K193" s="4"/>
      <c r="L193" s="4"/>
      <c r="M193" s="5"/>
      <c r="N193" s="5"/>
      <c r="O193" s="5"/>
      <c r="P193" s="3"/>
      <c r="Q193" s="6"/>
    </row>
    <row r="194" spans="1:17" x14ac:dyDescent="0.4">
      <c r="A194" s="2"/>
      <c r="E194" s="7"/>
      <c r="F194" s="4"/>
      <c r="G194" s="4"/>
      <c r="H194" s="4"/>
      <c r="I194" s="4"/>
      <c r="J194" s="4"/>
      <c r="K194" s="4"/>
      <c r="L194" s="4"/>
      <c r="M194" s="5"/>
      <c r="N194" s="5"/>
      <c r="O194" s="5"/>
      <c r="P194" s="3"/>
      <c r="Q194" s="6"/>
    </row>
    <row r="195" spans="1:17" x14ac:dyDescent="0.4">
      <c r="A195" s="2"/>
      <c r="E195" s="7"/>
      <c r="F195" s="4"/>
      <c r="G195" s="4"/>
      <c r="H195" s="4"/>
      <c r="I195" s="4"/>
      <c r="J195" s="4"/>
      <c r="K195" s="4"/>
      <c r="L195" s="4"/>
      <c r="M195" s="5"/>
      <c r="N195" s="5"/>
      <c r="O195" s="5"/>
      <c r="P195" s="3"/>
      <c r="Q195" s="6"/>
    </row>
    <row r="196" spans="1:17" x14ac:dyDescent="0.4">
      <c r="A196" s="2"/>
      <c r="E196" s="7"/>
      <c r="F196" s="4"/>
      <c r="G196" s="4"/>
      <c r="H196" s="4"/>
      <c r="I196" s="4"/>
      <c r="J196" s="4"/>
      <c r="K196" s="4"/>
      <c r="L196" s="4"/>
      <c r="M196" s="5"/>
      <c r="N196" s="5"/>
      <c r="O196" s="5"/>
      <c r="P196" s="3"/>
      <c r="Q196" s="6"/>
    </row>
    <row r="197" spans="1:17" x14ac:dyDescent="0.4">
      <c r="A197" s="2"/>
      <c r="E197" s="7"/>
      <c r="F197" s="4"/>
      <c r="G197" s="4"/>
      <c r="H197" s="4"/>
      <c r="I197" s="4"/>
      <c r="J197" s="4"/>
      <c r="K197" s="4"/>
      <c r="L197" s="4"/>
      <c r="M197" s="5"/>
      <c r="N197" s="5"/>
      <c r="O197" s="5"/>
      <c r="P197" s="3"/>
      <c r="Q197" s="6"/>
    </row>
    <row r="198" spans="1:17" x14ac:dyDescent="0.4">
      <c r="A198" s="2"/>
      <c r="E198" s="7"/>
      <c r="F198" s="4"/>
      <c r="G198" s="4"/>
      <c r="H198" s="4"/>
      <c r="I198" s="4"/>
      <c r="J198" s="4"/>
      <c r="K198" s="4"/>
      <c r="L198" s="4"/>
      <c r="M198" s="5"/>
      <c r="N198" s="5"/>
      <c r="O198" s="5"/>
      <c r="P198" s="3"/>
      <c r="Q198" s="6"/>
    </row>
    <row r="199" spans="1:17" x14ac:dyDescent="0.4">
      <c r="A199" s="2"/>
      <c r="E199" s="7"/>
      <c r="F199" s="4"/>
      <c r="G199" s="4"/>
      <c r="H199" s="4"/>
      <c r="I199" s="4"/>
      <c r="J199" s="4"/>
      <c r="K199" s="4"/>
      <c r="L199" s="4"/>
      <c r="M199" s="5"/>
      <c r="N199" s="5"/>
      <c r="O199" s="5"/>
      <c r="P199" s="3"/>
      <c r="Q199" s="6"/>
    </row>
    <row r="200" spans="1:17" x14ac:dyDescent="0.4">
      <c r="A200" s="2"/>
      <c r="E200" s="7"/>
      <c r="F200" s="4"/>
      <c r="G200" s="4"/>
      <c r="H200" s="4"/>
      <c r="I200" s="4"/>
      <c r="J200" s="4"/>
      <c r="K200" s="4"/>
      <c r="L200" s="4"/>
      <c r="M200" s="5"/>
      <c r="N200" s="5"/>
      <c r="O200" s="5"/>
      <c r="P200" s="3"/>
      <c r="Q200" s="6"/>
    </row>
    <row r="201" spans="1:17" x14ac:dyDescent="0.4">
      <c r="A201" s="2"/>
      <c r="E201" s="7"/>
      <c r="F201" s="4"/>
      <c r="G201" s="4"/>
      <c r="H201" s="4"/>
      <c r="I201" s="4"/>
      <c r="J201" s="4"/>
      <c r="K201" s="4"/>
      <c r="L201" s="4"/>
      <c r="M201" s="5"/>
      <c r="N201" s="5"/>
      <c r="O201" s="5"/>
      <c r="P201" s="3"/>
      <c r="Q201" s="6"/>
    </row>
    <row r="202" spans="1:17" x14ac:dyDescent="0.4">
      <c r="A202" s="2"/>
      <c r="E202" s="7"/>
      <c r="F202" s="4"/>
      <c r="G202" s="4"/>
      <c r="H202" s="4"/>
      <c r="I202" s="4"/>
      <c r="J202" s="4"/>
      <c r="K202" s="4"/>
      <c r="L202" s="4"/>
      <c r="M202" s="5"/>
      <c r="N202" s="5"/>
      <c r="O202" s="5"/>
      <c r="P202" s="3"/>
      <c r="Q202" s="6"/>
    </row>
    <row r="203" spans="1:17" x14ac:dyDescent="0.4">
      <c r="A203" s="2"/>
      <c r="E203" s="7"/>
      <c r="F203" s="4"/>
      <c r="G203" s="4"/>
      <c r="H203" s="4"/>
      <c r="I203" s="4"/>
      <c r="J203" s="4"/>
      <c r="K203" s="4"/>
      <c r="L203" s="4"/>
      <c r="M203" s="5"/>
      <c r="N203" s="5"/>
      <c r="O203" s="5"/>
      <c r="P203" s="3"/>
      <c r="Q203" s="6"/>
    </row>
    <row r="204" spans="1:17" x14ac:dyDescent="0.4">
      <c r="A204" s="2"/>
      <c r="E204" s="7"/>
      <c r="F204" s="4"/>
      <c r="G204" s="4"/>
      <c r="H204" s="4"/>
      <c r="I204" s="4"/>
      <c r="J204" s="4"/>
      <c r="K204" s="4"/>
      <c r="L204" s="4"/>
      <c r="M204" s="5"/>
      <c r="N204" s="5"/>
      <c r="O204" s="5"/>
      <c r="P204" s="3"/>
      <c r="Q204" s="6"/>
    </row>
    <row r="205" spans="1:17" x14ac:dyDescent="0.4">
      <c r="A205" s="2"/>
      <c r="E205" s="7"/>
      <c r="F205" s="4"/>
      <c r="G205" s="4"/>
      <c r="H205" s="4"/>
      <c r="I205" s="4"/>
      <c r="J205" s="4"/>
      <c r="K205" s="4"/>
      <c r="L205" s="4"/>
      <c r="M205" s="5"/>
      <c r="N205" s="5"/>
      <c r="O205" s="5"/>
      <c r="P205" s="3"/>
      <c r="Q205" s="6"/>
    </row>
    <row r="206" spans="1:17" x14ac:dyDescent="0.4">
      <c r="A206" s="2"/>
      <c r="E206" s="7"/>
      <c r="F206" s="4"/>
      <c r="G206" s="4"/>
      <c r="H206" s="4"/>
      <c r="I206" s="4"/>
      <c r="J206" s="4"/>
      <c r="K206" s="4"/>
      <c r="L206" s="4"/>
      <c r="M206" s="5"/>
      <c r="N206" s="5"/>
      <c r="O206" s="5"/>
      <c r="P206" s="3"/>
      <c r="Q206" s="6"/>
    </row>
    <row r="207" spans="1:17" x14ac:dyDescent="0.4">
      <c r="A207" s="2"/>
      <c r="E207" s="7"/>
      <c r="F207" s="4"/>
      <c r="G207" s="4"/>
      <c r="H207" s="4"/>
      <c r="I207" s="4"/>
      <c r="J207" s="4"/>
      <c r="K207" s="4"/>
      <c r="L207" s="4"/>
      <c r="M207" s="5"/>
      <c r="N207" s="5"/>
      <c r="O207" s="5"/>
      <c r="P207" s="3"/>
      <c r="Q207" s="6"/>
    </row>
    <row r="208" spans="1:17" x14ac:dyDescent="0.4">
      <c r="A208" s="2"/>
      <c r="E208" s="7"/>
      <c r="F208" s="4"/>
      <c r="G208" s="4"/>
      <c r="H208" s="4"/>
      <c r="I208" s="4"/>
      <c r="J208" s="4"/>
      <c r="K208" s="4"/>
      <c r="L208" s="4"/>
      <c r="M208" s="5"/>
      <c r="N208" s="5"/>
      <c r="O208" s="5"/>
      <c r="P208" s="3"/>
      <c r="Q208" s="6"/>
    </row>
    <row r="209" spans="1:17" x14ac:dyDescent="0.4">
      <c r="A209" s="2"/>
      <c r="E209" s="7"/>
      <c r="F209" s="4"/>
      <c r="G209" s="4"/>
      <c r="H209" s="4"/>
      <c r="I209" s="4"/>
      <c r="J209" s="4"/>
      <c r="K209" s="4"/>
      <c r="L209" s="4"/>
      <c r="M209" s="5"/>
      <c r="N209" s="5"/>
      <c r="O209" s="5"/>
      <c r="P209" s="3"/>
      <c r="Q209" s="6"/>
    </row>
    <row r="210" spans="1:17" x14ac:dyDescent="0.4">
      <c r="A210" s="2"/>
      <c r="E210" s="7"/>
      <c r="F210" s="4"/>
      <c r="G210" s="4"/>
      <c r="H210" s="4"/>
      <c r="I210" s="4"/>
      <c r="J210" s="4"/>
      <c r="K210" s="4"/>
      <c r="L210" s="4"/>
      <c r="M210" s="5"/>
      <c r="N210" s="5"/>
      <c r="O210" s="5"/>
      <c r="P210" s="3"/>
      <c r="Q210" s="6"/>
    </row>
    <row r="211" spans="1:17" x14ac:dyDescent="0.4">
      <c r="A211" s="2"/>
      <c r="E211" s="7"/>
      <c r="F211" s="4"/>
      <c r="G211" s="4"/>
      <c r="H211" s="4"/>
      <c r="I211" s="4"/>
      <c r="J211" s="4"/>
      <c r="K211" s="4"/>
      <c r="L211" s="4"/>
      <c r="M211" s="5"/>
      <c r="N211" s="5"/>
      <c r="O211" s="5"/>
      <c r="P211" s="3"/>
      <c r="Q211" s="6"/>
    </row>
    <row r="212" spans="1:17" x14ac:dyDescent="0.4">
      <c r="A212" s="2"/>
      <c r="E212" s="7"/>
      <c r="F212" s="4"/>
      <c r="G212" s="4"/>
      <c r="H212" s="4"/>
      <c r="I212" s="4"/>
      <c r="J212" s="4"/>
      <c r="K212" s="4"/>
      <c r="L212" s="4"/>
      <c r="M212" s="5"/>
      <c r="N212" s="5"/>
      <c r="O212" s="5"/>
      <c r="P212" s="3"/>
      <c r="Q212" s="6"/>
    </row>
    <row r="213" spans="1:17" x14ac:dyDescent="0.4">
      <c r="A213" s="2"/>
      <c r="E213" s="7"/>
      <c r="F213" s="4"/>
      <c r="G213" s="4"/>
      <c r="H213" s="4"/>
      <c r="I213" s="4"/>
      <c r="J213" s="4"/>
      <c r="K213" s="4"/>
      <c r="L213" s="4"/>
      <c r="M213" s="5"/>
      <c r="N213" s="5"/>
      <c r="O213" s="5"/>
      <c r="P213" s="3"/>
      <c r="Q213" s="6"/>
    </row>
    <row r="214" spans="1:17" x14ac:dyDescent="0.4">
      <c r="A214" s="2"/>
      <c r="E214" s="7"/>
      <c r="F214" s="4"/>
      <c r="G214" s="4"/>
      <c r="H214" s="4"/>
      <c r="I214" s="4"/>
      <c r="J214" s="4"/>
      <c r="K214" s="4"/>
      <c r="L214" s="4"/>
      <c r="M214" s="5"/>
      <c r="N214" s="5"/>
      <c r="O214" s="5"/>
      <c r="P214" s="3"/>
      <c r="Q214" s="6"/>
    </row>
    <row r="215" spans="1:17" x14ac:dyDescent="0.4">
      <c r="A215" s="2"/>
      <c r="E215" s="7"/>
      <c r="F215" s="4"/>
      <c r="G215" s="4"/>
      <c r="H215" s="4"/>
      <c r="I215" s="4"/>
      <c r="J215" s="4"/>
      <c r="K215" s="4"/>
      <c r="L215" s="4"/>
      <c r="M215" s="5"/>
      <c r="N215" s="5"/>
      <c r="O215" s="5"/>
      <c r="P215" s="3"/>
      <c r="Q215" s="6"/>
    </row>
    <row r="216" spans="1:17" x14ac:dyDescent="0.4">
      <c r="A216" s="2"/>
      <c r="E216" s="7"/>
      <c r="F216" s="4"/>
      <c r="G216" s="4"/>
      <c r="H216" s="4"/>
      <c r="I216" s="4"/>
      <c r="J216" s="4"/>
      <c r="K216" s="4"/>
      <c r="L216" s="4"/>
      <c r="M216" s="5"/>
      <c r="N216" s="5"/>
      <c r="O216" s="5"/>
      <c r="P216" s="3"/>
      <c r="Q216" s="6"/>
    </row>
    <row r="217" spans="1:17" x14ac:dyDescent="0.4">
      <c r="A217" s="2"/>
      <c r="E217" s="7"/>
      <c r="F217" s="4"/>
      <c r="G217" s="4"/>
      <c r="H217" s="4"/>
      <c r="I217" s="4"/>
      <c r="J217" s="4"/>
      <c r="K217" s="4"/>
      <c r="L217" s="4"/>
      <c r="M217" s="5"/>
      <c r="N217" s="5"/>
      <c r="O217" s="5"/>
      <c r="P217" s="3"/>
      <c r="Q217" s="6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Ideastream5</dc:creator>
  <cp:lastModifiedBy>가영 유</cp:lastModifiedBy>
  <dcterms:created xsi:type="dcterms:W3CDTF">2026-03-30T05:07:06Z</dcterms:created>
  <dcterms:modified xsi:type="dcterms:W3CDTF">2026-08-07T00:11:26Z</dcterms:modified>
</cp:coreProperties>
</file>