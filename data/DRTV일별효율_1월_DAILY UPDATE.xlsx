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o\Documents\아이디어스트림\미디어팀\1. 세이브더칠드런\★ DRTV 데일리\Claude 데이터셋\광고주 공유용 대시보드\"/>
    </mc:Choice>
  </mc:AlternateContent>
  <xr:revisionPtr revIDLastSave="0" documentId="13_ncr:1_{9FDB93F1-C10F-43C8-83B1-10B14A90B491}" xr6:coauthVersionLast="47" xr6:coauthVersionMax="47" xr10:uidLastSave="{00000000-0000-0000-0000-000000000000}"/>
  <bookViews>
    <workbookView xWindow="28680" yWindow="-120" windowWidth="29040" windowHeight="15720" xr2:uid="{6E5CA8AD-D958-4F40-9AC4-840414E71B03}"/>
  </bookViews>
  <sheets>
    <sheet name="DAILY" sheetId="2" r:id="rId1"/>
    <sheet name="Sheet1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00시">#REF!</definedName>
    <definedName name="_31A3_" hidden="1">{#N/A,#N/A,FALSE,"단축1";#N/A,#N/A,FALSE,"단축2";#N/A,#N/A,FALSE,"단축3";#N/A,#N/A,FALSE,"장축";#N/A,#N/A,FALSE,"4WD"}</definedName>
    <definedName name="_36P2_" hidden="1">{#N/A,#N/A,FALSE,"단축1";#N/A,#N/A,FALSE,"단축2";#N/A,#N/A,FALSE,"단축3";#N/A,#N/A,FALSE,"장축";#N/A,#N/A,FALSE,"4WD"}</definedName>
    <definedName name="_38T2_" hidden="1">{#N/A,#N/A,FALSE,"단축1";#N/A,#N/A,FALSE,"단축2";#N/A,#N/A,FALSE,"단축3";#N/A,#N/A,FALSE,"장축";#N/A,#N/A,FALSE,"4WD"}</definedName>
    <definedName name="_39T3_" hidden="1">{#N/A,#N/A,FALSE,"단축1";#N/A,#N/A,FALSE,"단축2";#N/A,#N/A,FALSE,"단축3";#N/A,#N/A,FALSE,"장축";#N/A,#N/A,FALSE,"4WD"}</definedName>
    <definedName name="_40T5_" hidden="1">{#N/A,#N/A,FALSE,"단축1";#N/A,#N/A,FALSE,"단축2";#N/A,#N/A,FALSE,"단축3";#N/A,#N/A,FALSE,"장축";#N/A,#N/A,FALSE,"4WD"}</definedName>
    <definedName name="_Dist_Values" hidden="1">#REF!</definedName>
    <definedName name="_Fill" hidden="1">#REF!</definedName>
    <definedName name="_xlnm._FilterDatabase" localSheetId="0" hidden="1">DAILY!$A$1:$Q$685</definedName>
    <definedName name="_xlnm._FilterDatabase" hidden="1">#REF!</definedName>
    <definedName name="_Key1" hidden="1">#REF!</definedName>
    <definedName name="_Key2" hidden="1">#REF!</definedName>
    <definedName name="_KO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PB004" hidden="1">{#N/A,#N/A,FALSE,"단축1";#N/A,#N/A,FALSE,"단축2";#N/A,#N/A,FALSE,"단축3";#N/A,#N/A,FALSE,"장축";#N/A,#N/A,FALSE,"4WD"}</definedName>
    <definedName name="_shcnf">#REF!</definedName>
    <definedName name="_Sort" hidden="1">#REF!</definedName>
    <definedName name="_tt2">#REF!</definedName>
    <definedName name="\0">#REF!</definedName>
    <definedName name="\ADL_KID">#REF!</definedName>
    <definedName name="\c">#N/A</definedName>
    <definedName name="\d">#REF!</definedName>
    <definedName name="\i">#REF!</definedName>
    <definedName name="\KOBACO">#REF!</definedName>
    <definedName name="\m">#REF!</definedName>
    <definedName name="\p">#N/A</definedName>
    <definedName name="\q">#N/A</definedName>
    <definedName name="a">#REF!</definedName>
    <definedName name="A1_00근거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BB" hidden="1">{#N/A,#N/A,FALSE,"단축1";#N/A,#N/A,FALSE,"단축2";#N/A,#N/A,FALSE,"단축3";#N/A,#N/A,FALSE,"장축";#N/A,#N/A,FALSE,"4WD"}</definedName>
    <definedName name="AAS" hidden="1">{#N/A,#N/A,FALSE,"단축1";#N/A,#N/A,FALSE,"단축2";#N/A,#N/A,FALSE,"단축3";#N/A,#N/A,FALSE,"장축";#N/A,#N/A,FALSE,"4WD"}</definedName>
    <definedName name="AB" hidden="1">{#N/A,#N/A,FALSE,"단축1";#N/A,#N/A,FALSE,"단축2";#N/A,#N/A,FALSE,"단축3";#N/A,#N/A,FALSE,"장축";#N/A,#N/A,FALSE,"4WD"}</definedName>
    <definedName name="ABD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ADSDF" hidden="1">{#N/A,#N/A,TRUE,"Y생산";#N/A,#N/A,TRUE,"Y판매";#N/A,#N/A,TRUE,"Y총물량";#N/A,#N/A,TRUE,"Y능력";#N/A,#N/A,TRUE,"YKD"}</definedName>
    <definedName name="AF" hidden="1">{#N/A,#N/A,FALSE,"단축1";#N/A,#N/A,FALSE,"단축2";#N/A,#N/A,FALSE,"단축3";#N/A,#N/A,FALSE,"장축";#N/A,#N/A,FALSE,"4WD"}</definedName>
    <definedName name="afhjkdhfla" hidden="1">{#N/A,#N/A,FALSE,"단축1";#N/A,#N/A,FALSE,"단축2";#N/A,#N/A,FALSE,"단축3";#N/A,#N/A,FALSE,"장축";#N/A,#N/A,FALSE,"4WD"}</definedName>
    <definedName name="AG" hidden="1">{#N/A,#N/A,FALSE,"단축1";#N/A,#N/A,FALSE,"단축2";#N/A,#N/A,FALSE,"단축3";#N/A,#N/A,FALSE,"장축";#N/A,#N/A,FALSE,"4WD"}</definedName>
    <definedName name="AH" hidden="1">{#N/A,#N/A,FALSE,"단축1";#N/A,#N/A,FALSE,"단축2";#N/A,#N/A,FALSE,"단축3";#N/A,#N/A,FALSE,"장축";#N/A,#N/A,FALSE,"4WD"}</definedName>
    <definedName name="AJ" hidden="1">{#N/A,#N/A,FALSE,"단축1";#N/A,#N/A,FALSE,"단축2";#N/A,#N/A,FALSE,"단축3";#N/A,#N/A,FALSE,"장축";#N/A,#N/A,FALSE,"4WD"}</definedName>
    <definedName name="AL" hidden="1">{#N/A,#N/A,FALSE,"단축1";#N/A,#N/A,FALSE,"단축2";#N/A,#N/A,FALSE,"단축3";#N/A,#N/A,FALSE,"장축";#N/A,#N/A,FALSE,"4WD"}</definedName>
    <definedName name="All">#REF!</definedName>
    <definedName name="AN" hidden="1">{#N/A,#N/A,FALSE,"단축1";#N/A,#N/A,FALSE,"단축2";#N/A,#N/A,FALSE,"단축3";#N/A,#N/A,FALSE,"장축";#N/A,#N/A,FALSE,"4WD"}</definedName>
    <definedName name="AQP" hidden="1">{#N/A,#N/A,FALSE,"96 3월물량표";#N/A,#N/A,FALSE,"96 4월물량표";#N/A,#N/A,FALSE,"96 5월물량표"}</definedName>
    <definedName name="AS" hidden="1">{#N/A,#N/A,FALSE,"단축1";#N/A,#N/A,FALSE,"단축2";#N/A,#N/A,FALSE,"단축3";#N/A,#N/A,FALSE,"장축";#N/A,#N/A,FALSE,"4WD"}</definedName>
    <definedName name="asd">#REF!</definedName>
    <definedName name="asdf">#REF!</definedName>
    <definedName name="ASDFASDFGASD">#REF!</definedName>
    <definedName name="AV" hidden="1">{#N/A,#N/A,FALSE,"단축1";#N/A,#N/A,FALSE,"단축2";#N/A,#N/A,FALSE,"단축3";#N/A,#N/A,FALSE,"장축";#N/A,#N/A,FALSE,"4WD"}</definedName>
    <definedName name="bcrclcl100rt">'[1]9-1차이내역'!#REF!</definedName>
    <definedName name="bcrclcl100rtrkrk">'[1]9-1차이내역'!#REF!</definedName>
    <definedName name="BFX_BRANDFX">60122</definedName>
    <definedName name="CAE해석" hidden="1">{#N/A,#N/A,FALSE,"단축1";#N/A,#N/A,FALSE,"단축2";#N/A,#N/A,FALSE,"단축3";#N/A,#N/A,FALSE,"장축";#N/A,#N/A,FALSE,"4WD"}</definedName>
    <definedName name="Channel">#REF!</definedName>
    <definedName name="CHINA">#REF!</definedName>
    <definedName name="ci" hidden="1">{#N/A,#N/A,FALSE,"단축1";#N/A,#N/A,FALSE,"단축2";#N/A,#N/A,FALSE,"단축3";#N/A,#N/A,FALSE,"장축";#N/A,#N/A,FALSE,"4WD"}</definedName>
    <definedName name="conb1">[1]!conb1</definedName>
    <definedName name="conb10">[1]!conb10</definedName>
    <definedName name="conb100">[1]!conb100</definedName>
    <definedName name="conb101">[1]!conb101</definedName>
    <definedName name="conb102">[1]!conb102</definedName>
    <definedName name="conb103">[1]!conb103</definedName>
    <definedName name="conb104">[1]!conb104</definedName>
    <definedName name="conb105">[1]!conb105</definedName>
    <definedName name="conb106">[1]!conb106</definedName>
    <definedName name="conb107">[1]!conb107</definedName>
    <definedName name="conb108">[1]!conb108</definedName>
    <definedName name="conb109">[1]!conb109</definedName>
    <definedName name="conb11">[1]!conb11</definedName>
    <definedName name="conb110">[1]!conb110</definedName>
    <definedName name="conb111">[1]!conb111</definedName>
    <definedName name="conb112">[1]!conb112</definedName>
    <definedName name="conb113">[1]!conb113</definedName>
    <definedName name="conb114">[1]!conb114</definedName>
    <definedName name="conb115">[1]!conb115</definedName>
    <definedName name="conb116">[1]!conb116</definedName>
    <definedName name="conb117">[1]!conb117</definedName>
    <definedName name="conb118">[1]!conb118</definedName>
    <definedName name="conb119">[1]!conb119</definedName>
    <definedName name="conb12">[1]!conb12</definedName>
    <definedName name="conb120">[1]!conb120</definedName>
    <definedName name="conb121">[1]!conb121</definedName>
    <definedName name="conb13">[1]!conb13</definedName>
    <definedName name="conb14">[1]!conb14</definedName>
    <definedName name="conb15">[1]!conb15</definedName>
    <definedName name="conb16">[1]!conb16</definedName>
    <definedName name="conb17">[1]!conb17</definedName>
    <definedName name="conb18">[1]!conb18</definedName>
    <definedName name="conb19">[1]!conb19</definedName>
    <definedName name="conb2">[1]!conb2</definedName>
    <definedName name="conb20">[1]!conb20</definedName>
    <definedName name="conb200">[1]!conb88</definedName>
    <definedName name="conb21">[1]!conb21</definedName>
    <definedName name="conb22">[1]!conb22</definedName>
    <definedName name="conb23">[1]!conb23</definedName>
    <definedName name="conb24">[1]!conb24</definedName>
    <definedName name="conb25">[1]!conb25</definedName>
    <definedName name="conb26">[1]!conb26</definedName>
    <definedName name="conb27">[1]!conb27</definedName>
    <definedName name="conb28">[1]!conb28</definedName>
    <definedName name="conb29">[1]!conb29</definedName>
    <definedName name="conb3">[1]!conb3</definedName>
    <definedName name="conb30">[1]!conb30</definedName>
    <definedName name="conb31">[1]!conb31</definedName>
    <definedName name="conb33">[1]!conb33</definedName>
    <definedName name="conb34">[1]!conb34</definedName>
    <definedName name="conb36">[1]!conb36</definedName>
    <definedName name="conb37">[1]!conb37</definedName>
    <definedName name="conb38">[1]!conb38</definedName>
    <definedName name="conb39">[1]!conb39</definedName>
    <definedName name="conb4">[1]!conb4</definedName>
    <definedName name="conb40">[1]!conb40</definedName>
    <definedName name="conb41">[1]!conb41</definedName>
    <definedName name="conb42">[1]!conb42</definedName>
    <definedName name="conb43">[1]!conb43</definedName>
    <definedName name="conb44">[1]!conb44</definedName>
    <definedName name="conb45">[1]!conb45</definedName>
    <definedName name="conb46">[1]!conb46</definedName>
    <definedName name="conb47">[1]!conb47</definedName>
    <definedName name="conb48">[1]!conb48</definedName>
    <definedName name="conb49">[1]!conb49</definedName>
    <definedName name="conb5">[1]!conb5</definedName>
    <definedName name="conb50">[1]!conb50</definedName>
    <definedName name="conb51">[1]!conb51</definedName>
    <definedName name="conb52">[1]!conb52</definedName>
    <definedName name="conb53">[1]!conb53</definedName>
    <definedName name="conb54">[1]!conb54</definedName>
    <definedName name="conb55">[1]!conb55</definedName>
    <definedName name="conb58">[1]!conb58</definedName>
    <definedName name="conb59">[1]!conb59</definedName>
    <definedName name="conb6">[1]!conb6</definedName>
    <definedName name="conb60">[1]!conb60</definedName>
    <definedName name="conb61">[1]!conb61</definedName>
    <definedName name="conb62">[1]!conb62</definedName>
    <definedName name="conb63">[1]!conb63</definedName>
    <definedName name="conb64">[1]!conb64</definedName>
    <definedName name="conb65">[1]!conb65</definedName>
    <definedName name="conb66">[1]!conb66</definedName>
    <definedName name="conb67">[1]!conb67</definedName>
    <definedName name="conb68">[1]!conb68</definedName>
    <definedName name="conb69">[1]!conb69</definedName>
    <definedName name="conb7">[1]!conb7</definedName>
    <definedName name="conb70">[1]!conb70</definedName>
    <definedName name="conb71">[1]!conb71</definedName>
    <definedName name="conb72">[1]!conb72</definedName>
    <definedName name="conb73">[1]!conb73</definedName>
    <definedName name="conb74">[1]!conb74</definedName>
    <definedName name="conb75">[1]!conb75</definedName>
    <definedName name="conb76">[1]!conb76</definedName>
    <definedName name="conb77">[1]!conb77</definedName>
    <definedName name="conb78">[1]!conb78</definedName>
    <definedName name="conb79">[1]!conb79</definedName>
    <definedName name="conb8">[1]!conb8</definedName>
    <definedName name="conb80">[1]!conb80</definedName>
    <definedName name="conb81">[1]!conb81</definedName>
    <definedName name="conb82">[1]!conb82</definedName>
    <definedName name="conb83">[1]!conb83</definedName>
    <definedName name="conb84">[1]!conb84</definedName>
    <definedName name="conb85">[1]!conb85</definedName>
    <definedName name="conb86">[1]!conb86</definedName>
    <definedName name="conb87">[1]!conb87</definedName>
    <definedName name="conb88">[1]!conb88</definedName>
    <definedName name="conb89">[1]!conb89</definedName>
    <definedName name="conb9">[1]!conb9</definedName>
    <definedName name="conb90">[1]!conb90</definedName>
    <definedName name="conb91">[1]!conb91</definedName>
    <definedName name="conb92">[1]!conb92</definedName>
    <definedName name="conb93">[1]!conb93</definedName>
    <definedName name="conb94">[1]!conb94</definedName>
    <definedName name="conb95">[1]!conb95</definedName>
    <definedName name="conb96">[1]!conb96</definedName>
    <definedName name="conb97">[1]!conb97</definedName>
    <definedName name="conb98">[1]!conb98</definedName>
    <definedName name="conb99">[1]!conb99</definedName>
    <definedName name="_xlnm.Criteria">#REF!</definedName>
    <definedName name="Criteria_MI">#REF!</definedName>
    <definedName name="d">[2]채널!$C$3:$C$21</definedName>
    <definedName name="DA">#N/A</definedName>
    <definedName name="_xlnm.Database">[3]엔미즈_코리아!$A$2:$AA$38</definedName>
    <definedName name="Database_MI">#REF!</definedName>
    <definedName name="Database2">#REF!</definedName>
    <definedName name="Days_Of_Week">#REF!</definedName>
    <definedName name="dd">#REF!</definedName>
    <definedName name="DDD" hidden="1">{#VALUE!,#N/A,FALSE,0;#N/A,#N/A,FALSE,0;#N/A,#N/A,FALSE,0;#N/A,#N/A,FALSE,0;#N/A,#N/A,FALSE,0}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SLDH" hidden="1">{#N/A,#N/A,FALSE,"단축1";#N/A,#N/A,FALSE,"단축2";#N/A,#N/A,FALSE,"단축3";#N/A,#N/A,FALSE,"장축";#N/A,#N/A,FALSE,"4WD"}</definedName>
    <definedName name="DRIVE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af">#REF!</definedName>
    <definedName name="DSL" hidden="1">{#N/A,#N/A,FALSE,"단축1";#N/A,#N/A,FALSE,"단축2";#N/A,#N/A,FALSE,"단축3";#N/A,#N/A,FALSE,"장축";#N/A,#N/A,FALSE,"4WD"}</definedName>
    <definedName name="E" hidden="1">{#N/A,#N/A,TRUE,"Y생산";#N/A,#N/A,TRUE,"Y판매";#N/A,#N/A,TRUE,"Y총물량";#N/A,#N/A,TRUE,"Y능력";#N/A,#N/A,TRUE,"YKD"}</definedName>
    <definedName name="eee">[4]!eee</definedName>
    <definedName name="EF제동" hidden="1">{#N/A,#N/A,FALSE,"단축1";#N/A,#N/A,FALSE,"단축2";#N/A,#N/A,FALSE,"단축3";#N/A,#N/A,FALSE,"장축";#N/A,#N/A,FALSE,"4WD"}</definedName>
    <definedName name="ERRE" hidden="1">{#N/A,#N/A,FALSE,"단축1";#N/A,#N/A,FALSE,"단축2";#N/A,#N/A,FALSE,"단축3";#N/A,#N/A,FALSE,"장축";#N/A,#N/A,FALSE,"4WD"}</definedName>
    <definedName name="Excel_BuiltIn__FilterDatabase_1">#REF!</definedName>
    <definedName name="_xlnm.Extract">#REF!</definedName>
    <definedName name="Extract_MI">#REF!</definedName>
    <definedName name="f">[4]!f</definedName>
    <definedName name="fd">#REF!</definedName>
    <definedName name="fdafdas">[4]!fdafdas</definedName>
    <definedName name="FFG" hidden="1">{#N/A,#N/A,FALSE,"단축1";#N/A,#N/A,FALSE,"단축2";#N/A,#N/A,FALSE,"단축3";#N/A,#N/A,FALSE,"장축";#N/A,#N/A,FALSE,"4WD"}</definedName>
    <definedName name="fg1314TBTB4RTDKDKDKRT">#REF!</definedName>
    <definedName name="FGH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G" hidden="1">{#N/A,#N/A,FALSE,"96 3월물량표";#N/A,#N/A,FALSE,"96 4월물량표";#N/A,#N/A,FALSE,"96 5월물량표"}</definedName>
    <definedName name="G_L">#REF!</definedName>
    <definedName name="G_M">MATCH(#REF!,G_L,0)-1</definedName>
    <definedName name="GGG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KADJG" hidden="1">{#N/A,#N/A,FALSE,"단축1";#N/A,#N/A,FALSE,"단축2";#N/A,#N/A,FALSE,"단축3";#N/A,#N/A,FALSE,"장축";#N/A,#N/A,FALSE,"4WD"}</definedName>
    <definedName name="haircare">'[5]#cmpt2'!#REF!</definedName>
    <definedName name="HJJ" hidden="1">{#N/A,#N/A,FALSE,"단축1";#N/A,#N/A,FALSE,"단축2";#N/A,#N/A,FALSE,"단축3";#N/A,#N/A,FALSE,"장축";#N/A,#N/A,FALSE,"4WD"}</definedName>
    <definedName name="Home">#REF!</definedName>
    <definedName name="HTML_CodePage" hidden="1">949</definedName>
    <definedName name="HTML_Control" hidden="1">{"'01'!$A$1:$BO$43"}</definedName>
    <definedName name="HTML_Description" hidden="1">""</definedName>
    <definedName name="HTML_Email" hidden="1">""</definedName>
    <definedName name="HTML_Header" hidden="1">""</definedName>
    <definedName name="HTML_LastUpdate" hidden="1">"99/11/16"</definedName>
    <definedName name="HTML_LineAfter" hidden="1">FALSE</definedName>
    <definedName name="HTML_LineBefore" hidden="1">FALSE</definedName>
    <definedName name="HTML_Name" hidden="1">"안창우"</definedName>
    <definedName name="HTML_OBDlg2" hidden="1">TRUE</definedName>
    <definedName name="HTML_OBDlg4" hidden="1">TRUE</definedName>
    <definedName name="HTML_OS" hidden="1">0</definedName>
    <definedName name="HTML_PathFile" hidden="1">"C:\MyDocuments\조직비교\MyHTML.htm"</definedName>
    <definedName name="HTML_Title" hidden="1">"現代 對 大通"</definedName>
    <definedName name="http___3d_vision.kr_?mid_sub1_document_srl_131464">#REF!</definedName>
    <definedName name="ic" hidden="1">{#N/A,#N/A,FALSE,"단축1";#N/A,#N/A,FALSE,"단축2";#N/A,#N/A,FALSE,"단축3";#N/A,#N/A,FALSE,"장축";#N/A,#N/A,FALSE,"4WD"}</definedName>
    <definedName name="INDIA">#REF!</definedName>
    <definedName name="interestrates">[1]!conb43</definedName>
    <definedName name="internet">#REF!</definedName>
    <definedName name="JK" hidden="1">{#N/A,#N/A,TRUE,"Y생산";#N/A,#N/A,TRUE,"Y판매";#N/A,#N/A,TRUE,"Y총물량";#N/A,#N/A,TRUE,"Y능력";#N/A,#N/A,TRUE,"YKD"}</definedName>
    <definedName name="KEY">#N/A</definedName>
    <definedName name="KKJGLGK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LKL" hidden="1">{#N/A,#N/A,FALSE,"단축1";#N/A,#N/A,FALSE,"단축2";#N/A,#N/A,FALSE,"단축3";#N/A,#N/A,FALSE,"장축";#N/A,#N/A,FALSE,"4WD"}</definedName>
    <definedName name="KSW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Price범위">#REF!</definedName>
    <definedName name="LONDON">#REF!</definedName>
    <definedName name="LOOPKEY">#N/A</definedName>
    <definedName name="lps" hidden="1">{#N/A,#N/A,FALSE,"단축1";#N/A,#N/A,FALSE,"단축2";#N/A,#N/A,FALSE,"단축3";#N/A,#N/A,FALSE,"장축";#N/A,#N/A,FALSE,"4WD"}</definedName>
    <definedName name="LUP" hidden="1">#REF!</definedName>
    <definedName name="M">#REF!</definedName>
    <definedName name="M_Drama" hidden="1">#REF!</definedName>
    <definedName name="main">[4]!main</definedName>
    <definedName name="MBC_D" hidden="1">#REF!</definedName>
    <definedName name="MESS">#N/A</definedName>
    <definedName name="MESSSCR">#N/A</definedName>
    <definedName name="MH향상" hidden="1">{#N/A,#N/A,TRUE,"Y생산";#N/A,#N/A,TRUE,"Y판매";#N/A,#N/A,TRUE,"Y총물량";#N/A,#N/A,TRUE,"Y능력";#N/A,#N/A,TRUE,"YKD"}</definedName>
    <definedName name="MMM" hidden="1">{#N/A,#N/A,FALSE,"단축1";#N/A,#N/A,FALSE,"단축2";#N/A,#N/A,FALSE,"단축3";#N/A,#N/A,FALSE,"장축";#N/A,#N/A,FALSE,"4WD"}</definedName>
    <definedName name="MMMMM" hidden="1">{#N/A,#N/A,FALSE,"단축1";#N/A,#N/A,FALSE,"단축2";#N/A,#N/A,FALSE,"단축3";#N/A,#N/A,FALSE,"장축";#N/A,#N/A,FALSE,"4WD"}</definedName>
    <definedName name="mnet">[4]!mnet</definedName>
    <definedName name="MOBILE">#REF!</definedName>
    <definedName name="mobile_sales">#REF!</definedName>
    <definedName name="MV" hidden="1">{#N/A,#N/A,FALSE,"단축1";#N/A,#N/A,FALSE,"단축2";#N/A,#N/A,FALSE,"단축3";#N/A,#N/A,FALSE,"장축";#N/A,#N/A,FALSE,"4WD"}</definedName>
    <definedName name="NEW" hidden="1">#REF!</definedName>
    <definedName name="NOTE" hidden="1">{#N/A,#N/A,FALSE,"단축1";#N/A,#N/A,FALSE,"단축2";#N/A,#N/A,FALSE,"단축3";#N/A,#N/A,FALSE,"장축";#N/A,#N/A,FALSE,"4WD"}</definedName>
    <definedName name="O" hidden="1">{#N/A,#N/A,TRUE,"Y생산";#N/A,#N/A,TRUE,"Y판매";#N/A,#N/A,TRUE,"Y총물량";#N/A,#N/A,TRUE,"Y능력";#N/A,#N/A,TRUE,"YKD"}</definedName>
    <definedName name="P" hidden="1">{#N/A,#N/A,FALSE,"단축1";#N/A,#N/A,FALSE,"단축2";#N/A,#N/A,FALSE,"단축3";#N/A,#N/A,FALSE,"장축";#N/A,#N/A,FALSE,"4WD"}</definedName>
    <definedName name="PARK" hidden="1">{#N/A,#N/A,FALSE,"단축1";#N/A,#N/A,FALSE,"단축2";#N/A,#N/A,FALSE,"단축3";#N/A,#N/A,FALSE,"장축";#N/A,#N/A,FALSE,"4WD"}</definedName>
    <definedName name="pessimistic">#REF!</definedName>
    <definedName name="PPK" hidden="1">{#N/A,#N/A,FALSE,"96 3월물량표";#N/A,#N/A,FALSE,"96 4월물량표";#N/A,#N/A,FALSE,"96 5월물량표"}</definedName>
    <definedName name="PPPP" hidden="1">{#N/A,#N/A,FALSE,"단축1";#N/A,#N/A,FALSE,"단축2";#N/A,#N/A,FALSE,"단축3";#N/A,#N/A,FALSE,"장축";#N/A,#N/A,FALSE,"4WD"}</definedName>
    <definedName name="ppt">[4]!ppt</definedName>
    <definedName name="Print_Area_MI">[6]개발실!#REF!</definedName>
    <definedName name="_xlnm.Print_Titles">#REF!</definedName>
    <definedName name="PRINTGO">#N/A</definedName>
    <definedName name="Product_List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" hidden="1">{#N/A,#N/A,FALSE,"Chi tiÆt"}</definedName>
    <definedName name="Q91A">#REF!</definedName>
    <definedName name="q91b">#REF!</definedName>
    <definedName name="QD" hidden="1">{#N/A,#N/A,FALSE,"단축1";#N/A,#N/A,FALSE,"단축2";#N/A,#N/A,FALSE,"단축3";#N/A,#N/A,FALSE,"장축";#N/A,#N/A,FALSE,"4WD"}</definedName>
    <definedName name="QJQH" hidden="1">{#N/A,#N/A,FALSE,"단축1";#N/A,#N/A,FALSE,"단축2";#N/A,#N/A,FALSE,"단축3";#N/A,#N/A,FALSE,"장축";#N/A,#N/A,FALSE,"4WD"}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">[4]!qqq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W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rrr">#REF!</definedName>
    <definedName name="rrrr">#REF!</definedName>
    <definedName name="RTE">[4]!RTE</definedName>
    <definedName name="s">#REF!</definedName>
    <definedName name="SADF" hidden="1">{#N/A,#N/A,FALSE,"단축1";#N/A,#N/A,FALSE,"단축2";#N/A,#N/A,FALSE,"단축3";#N/A,#N/A,FALSE,"장축";#N/A,#N/A,FALSE,"4WD"}</definedName>
    <definedName name="SBA">#REF!</definedName>
    <definedName name="Scenario">#REF!</definedName>
    <definedName name="Scenario2">#REF!</definedName>
    <definedName name="SD" hidden="1">{#N/A,#N/A,FALSE,"단축1";#N/A,#N/A,FALSE,"단축2";#N/A,#N/A,FALSE,"단축3";#N/A,#N/A,FALSE,"장축";#N/A,#N/A,FALSE,"4WD"}</definedName>
    <definedName name="SDFL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SDSD" hidden="1">{#N/A,#N/A,FALSE,"단축1";#N/A,#N/A,FALSE,"단축2";#N/A,#N/A,FALSE,"단축3";#N/A,#N/A,FALSE,"장축";#N/A,#N/A,FALSE,"4WD"}</definedName>
    <definedName name="SFG" hidden="1">{#N/A,#N/A,FALSE,"단축1";#N/A,#N/A,FALSE,"단축2";#N/A,#N/A,FALSE,"단축3";#N/A,#N/A,FALSE,"장축";#N/A,#N/A,FALSE,"4WD"}</definedName>
    <definedName name="SFSFSF" hidden="1">{#N/A,#N/A,FALSE,"단축1";#N/A,#N/A,FALSE,"단축2";#N/A,#N/A,FALSE,"단축3";#N/A,#N/A,FALSE,"장축";#N/A,#N/A,FALSE,"4WD"}</definedName>
    <definedName name="SHEET_1">#N/A</definedName>
    <definedName name="SHEET_2">#N/A</definedName>
    <definedName name="SHEET_3">#N/A</definedName>
    <definedName name="SHI" hidden="1">{#N/A,#N/A,FALSE,"단축1";#N/A,#N/A,FALSE,"단축2";#N/A,#N/A,FALSE,"단축3";#N/A,#N/A,FALSE,"장축";#N/A,#N/A,FALSE,"4WD"}</definedName>
    <definedName name="SK컴즈">#REF!</definedName>
    <definedName name="SK컴즈_상세가이드">#REF!</definedName>
    <definedName name="sk투">#REF!</definedName>
    <definedName name="SS" hidden="1">{#N/A,#N/A,FALSE,"단축1";#N/A,#N/A,FALSE,"단축2";#N/A,#N/A,FALSE,"단축3";#N/A,#N/A,FALSE,"장축";#N/A,#N/A,FALSE,"4WD"}</definedName>
    <definedName name="SSDD" hidden="1">{#N/A,#N/A,FALSE,"단축1";#N/A,#N/A,FALSE,"단축2";#N/A,#N/A,FALSE,"단축3";#N/A,#N/A,FALSE,"장축";#N/A,#N/A,FALSE,"4WD"}</definedName>
    <definedName name="sss">[7]전체단가표!$A$2:$F$135</definedName>
    <definedName name="ssssssssss">#REF!</definedName>
    <definedName name="SUM">#REF!</definedName>
    <definedName name="SW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g">#REF!</definedName>
    <definedName name="TAIWAN">#REF!</definedName>
    <definedName name="TaxTV">10%</definedName>
    <definedName name="TaxXL">5%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mes_Left">#REF!</definedName>
    <definedName name="Times_Right">#REF!</definedName>
    <definedName name="TRIM별COST2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U" hidden="1">{#N/A,#N/A,FALSE,"단축1";#N/A,#N/A,FALSE,"단축2";#N/A,#N/A,FALSE,"단축3";#N/A,#N/A,FALSE,"장축";#N/A,#N/A,FALSE,"4WD"}</definedName>
    <definedName name="UKFL" hidden="1">{#N/A,#N/A,FALSE,"단축1";#N/A,#N/A,FALSE,"단축2";#N/A,#N/A,FALSE,"단축3";#N/A,#N/A,FALSE,"장축";#N/A,#N/A,FALSE,"4WD"}</definedName>
    <definedName name="Updated">#REF!</definedName>
    <definedName name="WEARF" hidden="1">{#N/A,#N/A,TRUE,"Y생산";#N/A,#N/A,TRUE,"Y판매";#N/A,#N/A,TRUE,"Y총물량";#N/A,#N/A,TRUE,"Y능력";#N/A,#N/A,TRUE,"YKD"}</definedName>
    <definedName name="WHAT">#REF!</definedName>
    <definedName name="Wk_Sched">#REF!</definedName>
    <definedName name="wrn.345." hidden="1">{#N/A,#N/A,FALSE,"96 3월물량표";#N/A,#N/A,FALSE,"96 4월물량표";#N/A,#N/A,FALSE,"96 5월물량표"}</definedName>
    <definedName name="wrn.AuºIAI¼a." hidden="1">{#N/A,#N/A,FALSE,"´UA";#N/A,#N/A,FALSE,"´UA";#N/A,#N/A,FALSE,"´UA";#N/A,#N/A,FALSE,"Aa";#N/A,#N/A,FALSE,"4WD"}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chi._.tiÆt." hidden="1">{#N/A,#N/A,FALSE,"Chi tiÆt"}</definedName>
    <definedName name="wrn.tou구매." hidden="1">{#N/A,#N/A,FALSE,"견적대비-2"}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ddd">#REF!</definedName>
    <definedName name="YYY" hidden="1">{#N/A,#N/A,TRUE,"Y생산";#N/A,#N/A,TRUE,"Y판매";#N/A,#N/A,TRUE,"Y총물량";#N/A,#N/A,TRUE,"Y능력";#N/A,#N/A,TRUE,"YKD"}</definedName>
    <definedName name="Z" hidden="1">{#N/A,#N/A,FALSE,"단축1";#N/A,#N/A,FALSE,"단축2";#N/A,#N/A,FALSE,"단축3";#N/A,#N/A,FALSE,"장축";#N/A,#N/A,FALSE,"4WD"}</definedName>
    <definedName name="zz">#REF!</definedName>
    <definedName name="ZZZ" hidden="1">{#N/A,#N/A,FALSE,"단축1";#N/A,#N/A,FALSE,"단축2";#N/A,#N/A,FALSE,"단축3";#N/A,#N/A,FALSE,"장축";#N/A,#N/A,FALSE,"4WD"}</definedName>
    <definedName name="ㄱ">#REF!</definedName>
    <definedName name="ㄱㄱ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나">[4]!가나</definedName>
    <definedName name="稼働日">#REF!</definedName>
    <definedName name="가동조건" hidden="1">{#N/A,#N/A,FALSE,"96 3월물량표";#N/A,#N/A,FALSE,"96 4월물량표";#N/A,#N/A,FALSE,"96 5월물량표"}</definedName>
    <definedName name="감사보고서">#REF!</definedName>
    <definedName name="강" hidden="1">{#N/A,#N/A,FALSE,"단축1";#N/A,#N/A,FALSE,"단축2";#N/A,#N/A,FALSE,"단축3";#N/A,#N/A,FALSE,"장축";#N/A,#N/A,FALSE,"4WD"}</definedName>
    <definedName name="강강농" hidden="1">{#N/A,#N/A,FALSE,"단축1";#N/A,#N/A,FALSE,"단축2";#N/A,#N/A,FALSE,"단축3";#N/A,#N/A,FALSE,"장축";#N/A,#N/A,FALSE,"4WD"}</definedName>
    <definedName name="강동" hidden="1">{"'01'!$A$1:$BO$43"}</definedName>
    <definedName name="개발">[8]캔개발배경!$A$1:$O$40</definedName>
    <definedName name="개발시험종합" hidden="1">#REF!</definedName>
    <definedName name="개요">[9]개요!$A$1:$N$41</definedName>
    <definedName name="거" hidden="1">{#N/A,#N/A,FALSE,"단축1";#N/A,#N/A,FALSE,"단축2";#N/A,#N/A,FALSE,"단축3";#N/A,#N/A,FALSE,"장축";#N/A,#N/A,FALSE,"4WD"}</definedName>
    <definedName name="걸" hidden="1">{#N/A,#N/A,FALSE,"단축1";#N/A,#N/A,FALSE,"단축2";#N/A,#N/A,FALSE,"단축3";#N/A,#N/A,FALSE,"장축";#N/A,#N/A,FALSE,"4WD"}</definedName>
    <definedName name="검색">#REF!</definedName>
    <definedName name="결손금">'[1]#REF'!#REF!</definedName>
    <definedName name="경합금2과운연계획" hidden="1">{#N/A,#N/A,TRUE,"Y생산";#N/A,#N/A,TRUE,"Y판매";#N/A,#N/A,TRUE,"Y총물량";#N/A,#N/A,TRUE,"Y능력";#N/A,#N/A,TRUE,"YKD"}</definedName>
    <definedName name="곡" hidden="1">{#N/A,#N/A,FALSE,"96 3월물량표";#N/A,#N/A,FALSE,"96 4월물량표";#N/A,#N/A,FALSE,"96 5월물량표"}</definedName>
    <definedName name="골" hidden="1">{#N/A,#N/A,FALSE,"단축1";#N/A,#N/A,FALSE,"단축2";#N/A,#N/A,FALSE,"단축3";#N/A,#N/A,FALSE,"장축";#N/A,#N/A,FALSE,"4WD"}</definedName>
    <definedName name="골라인쇄">[1]!골라인쇄</definedName>
    <definedName name="공공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관리비근거">[4]!관리비근거</definedName>
    <definedName name="광고비">#REF!</definedName>
    <definedName name="광고상품">'[10]ART_9월+10월+11월 큐시트'!$O$4:$O$11</definedName>
    <definedName name="광고주">#REF!</definedName>
    <definedName name="군포" hidden="1">{"'01'!$A$1:$BO$43"}</definedName>
    <definedName name="그냥해" hidden="1">{#N/A,#N/A,FALSE,"단축1";#N/A,#N/A,FALSE,"단축2";#N/A,#N/A,FALSE,"단축3";#N/A,#N/A,FALSE,"장축";#N/A,#N/A,FALSE,"4WD"}</definedName>
    <definedName name="그래픽">#REF!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능" hidden="1">{#N/A,#N/A,FALSE,"단축1";#N/A,#N/A,FALSE,"단축2";#N/A,#N/A,FALSE,"단축3";#N/A,#N/A,FALSE,"장축";#N/A,#N/A,FALSE,"4WD"}</definedName>
    <definedName name="기본">#REF!</definedName>
    <definedName name="기아" hidden="1">{#N/A,#N/A,FALSE,"단축1";#N/A,#N/A,FALSE,"단축2";#N/A,#N/A,FALSE,"단축3";#N/A,#N/A,FALSE,"장축";#N/A,#N/A,FALSE,"4WD"}</definedName>
    <definedName name="기안">[9]기안!$A$1:$W$34</definedName>
    <definedName name="ㄳ" hidden="1">{#N/A,#N/A,FALSE,"단축1";#N/A,#N/A,FALSE,"단축2";#N/A,#N/A,FALSE,"단축3";#N/A,#N/A,FALSE,"장축";#N/A,#N/A,FALSE,"4WD"}</definedName>
    <definedName name="ㄴ">#REF!</definedName>
    <definedName name="ㄴㄴㄴ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ㄷㅇ">#REF!</definedName>
    <definedName name="ㄴㅁㅇㄹ">'[1]9-1차이내역'!#REF!</definedName>
    <definedName name="ㄴㅁㅇㅎㅇ롱로" hidden="1">#REF!</definedName>
    <definedName name="ㄴㅇ">#REF!</definedName>
    <definedName name="ㄴㅇㄴㅇㅀㄹㅇㅎㅇㅀㅎ" hidden="1">{#N/A,#N/A,FALSE,"단축1";#N/A,#N/A,FALSE,"단축2";#N/A,#N/A,FALSE,"단축3";#N/A,#N/A,FALSE,"장축";#N/A,#N/A,FALSE,"4WD"}</definedName>
    <definedName name="ㄴㅇㄹㄹㄴㅇㅁㅁㄴㅇㄻㄴㅇ">'[1]9-1차이내역'!#REF!</definedName>
    <definedName name="ㄴㅋ" hidden="1">{#N/A,#N/A,FALSE,"단축1";#N/A,#N/A,FALSE,"단축2";#N/A,#N/A,FALSE,"단축3";#N/A,#N/A,FALSE,"장축";#N/A,#N/A,FALSE,"4WD"}</definedName>
    <definedName name="네이버">#REF!</definedName>
    <definedName name="네이트가이드">#REF!</definedName>
    <definedName name="네이트제가이드">[7]전체단가표!$A$2:$F$135</definedName>
    <definedName name="네이트제작가이드">[7]전체단가표!$A$2:$F$135</definedName>
    <definedName name="넥스투어">[4]!넥스투어</definedName>
    <definedName name="년">[11]월간일정표!$B$2</definedName>
    <definedName name="노출현황">#REF!</definedName>
    <definedName name="니미럴">'[1]#REF'!#REF!</definedName>
    <definedName name="니ㅏ어림">[3]엔미즈_코리아!$A$2:$AA$38</definedName>
    <definedName name="ㄷㄱ" hidden="1">{#N/A,#N/A,TRUE,"Y생산";#N/A,#N/A,TRUE,"Y판매";#N/A,#N/A,TRUE,"Y총물량";#N/A,#N/A,TRUE,"Y능력";#N/A,#N/A,TRUE,"YKD"}</definedName>
    <definedName name="ㄷㄷ" hidden="1">{#N/A,#N/A,FALSE,"단축1";#N/A,#N/A,FALSE,"단축2";#N/A,#N/A,FALSE,"단축3";#N/A,#N/A,FALSE,"장축";#N/A,#N/A,FALSE,"4WD"}</definedName>
    <definedName name="ㄷㄷㄷ">[4]!ㄷㄷㄷ</definedName>
    <definedName name="다음">[7]전체단가표!$A$2:$F$135</definedName>
    <definedName name="단가">[8]경쟁사가격!$A$1:$L$13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행사">#REF!</definedName>
    <definedName name="동">[12]캔개발배경!$A$1:$O$40</definedName>
    <definedName name="동화상">#REF!</definedName>
    <definedName name="드라마">[4]!드라마</definedName>
    <definedName name="등록인수">[13]전담운영PM!#REF!</definedName>
    <definedName name="디젤1" hidden="1">{#N/A,#N/A,FALSE,"단축1";#N/A,#N/A,FALSE,"단축2";#N/A,#N/A,FALSE,"단축3";#N/A,#N/A,FALSE,"장축";#N/A,#N/A,FALSE,"4WD"}</definedName>
    <definedName name="ㄹ">#REF!</definedName>
    <definedName name="ㄹㄻㄴㅇㄹ">'[1]9-1차이내역'!#REF!</definedName>
    <definedName name="ㄹ호ㅓㅓ" hidden="1">{#N/A,#N/A,FALSE,"단축1";#N/A,#N/A,FALSE,"단축2";#N/A,#N/A,FALSE,"단축3";#N/A,#N/A,FALSE,"장축";#N/A,#N/A,FALSE,"4WD"}</definedName>
    <definedName name="렙사">'[14]2011년 Movie DB'!#REF!</definedName>
    <definedName name="료ㅕㅐㅑ" hidden="1">{#N/A,#N/A,FALSE,"단축1";#N/A,#N/A,FALSE,"단축2";#N/A,#N/A,FALSE,"단축3";#N/A,#N/A,FALSE,"장축";#N/A,#N/A,FALSE,"4WD"}</definedName>
    <definedName name="리스트">[15]hide!$B$15:$B$31</definedName>
    <definedName name="ㅁ">'[16]2010년 라인업'!#REF!</definedName>
    <definedName name="ㅁ1">#REF!</definedName>
    <definedName name="ㅁㄴㄴ">#REF!</definedName>
    <definedName name="ㅁㄴㅇ" hidden="1">{#N/A,#N/A,FALSE,"단축1";#N/A,#N/A,FALSE,"단축2";#N/A,#N/A,FALSE,"단축3";#N/A,#N/A,FALSE,"장축";#N/A,#N/A,FALSE,"4WD"}</definedName>
    <definedName name="ㅁㄴㅇㄹ">'[1]#REF'!#REF!</definedName>
    <definedName name="ㅁㄴㅇㄹㅇㅇ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ㄹ">'[1]9-1차이내역'!#REF!</definedName>
    <definedName name="ㅁㅁ">#REF!</definedName>
    <definedName name="ㅁㅁㅁ">#REF!</definedName>
    <definedName name="ㅁㅇㄹ">[17]홈엔!$A$2:$F$135</definedName>
    <definedName name="ㅁㅇㄻㄴㅇㄹ">[18]전체단가표!$A$2:$F$135</definedName>
    <definedName name="마케팅">[9]마케팅!$A$1:$M$28</definedName>
    <definedName name="말자" hidden="1">{#N/A,#N/A,FALSE,"단축1";#N/A,#N/A,FALSE,"단축2";#N/A,#N/A,FALSE,"단축3";#N/A,#N/A,FALSE,"장축";#N/A,#N/A,FALSE,"4WD"}</definedName>
    <definedName name="메인상단">#REF!</definedName>
    <definedName name="목차">[9]목차!$A$1:$G$23</definedName>
    <definedName name="목표">[8]캔판매목표!$A$1:$U$19</definedName>
    <definedName name="문자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디어">#REF!</definedName>
    <definedName name="미수금1213">'[1]9-1차이내역'!#REF!</definedName>
    <definedName name="믹스">#REF!</definedName>
    <definedName name="믹스5">#REF!</definedName>
    <definedName name="ㅂ">'[1]9-1차이내역'!#REF!</definedName>
    <definedName name="ㅂㅂ" hidden="1">{#N/A,#N/A,TRUE,"Y생산";#N/A,#N/A,TRUE,"Y판매";#N/A,#N/A,TRUE,"Y총물량";#N/A,#N/A,TRUE,"Y능력";#N/A,#N/A,TRUE,"YKD"}</definedName>
    <definedName name="ㅂㅂㅂ">[4]!ㅂㅂㅂ</definedName>
    <definedName name="ㅂㅂㅂㅂ">[4]!ㅂㅂㅂㅂ</definedName>
    <definedName name="바바라" hidden="1">{#N/A,#N/A,TRUE,"Y생산";#N/A,#N/A,TRUE,"Y판매";#N/A,#N/A,TRUE,"Y총물량";#N/A,#N/A,TRUE,"Y능력";#N/A,#N/A,TRUE,"YKD"}</definedName>
    <definedName name="바보" hidden="1">{#N/A,#N/A,FALSE,"´UA";#N/A,#N/A,FALSE,"´UA";#N/A,#N/A,FALSE,"´UA";#N/A,#N/A,FALSE,"Aa";#N/A,#N/A,FALSE,"4WD"}</definedName>
    <definedName name="바보1">'[1]9-1차이내역'!#REF!</definedName>
    <definedName name="박상현" hidden="1">{#N/A,#N/A,FALSE,"단축1";#N/A,#N/A,FALSE,"단축2";#N/A,#N/A,FALSE,"단축3";#N/A,#N/A,FALSE,"장축";#N/A,#N/A,FALSE,"4WD"}</definedName>
    <definedName name="박소지" hidden="1">{#N/A,#N/A,FALSE,"단축1";#N/A,#N/A,FALSE,"단축2";#N/A,#N/A,FALSE,"단축3";#N/A,#N/A,FALSE,"장축";#N/A,#N/A,FALSE,"4WD"}</definedName>
    <definedName name="배너사이즈">#REF!</definedName>
    <definedName name="배송결재">[13]전담운영PM!#REF!</definedName>
    <definedName name="배송실적1">#REF!</definedName>
    <definedName name="번호1">[13]전담운영PM!#REF!</definedName>
    <definedName name="베타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보고1" hidden="1">{#N/A,#N/A,FALSE,"단축1";#N/A,#N/A,FALSE,"단축2";#N/A,#N/A,FALSE,"단축3";#N/A,#N/A,FALSE,"장축";#N/A,#N/A,FALSE,"4WD"}</definedName>
    <definedName name="보장IMP">#REF!</definedName>
    <definedName name="본부">[4]!본부</definedName>
    <definedName name="부서">[19]코드!$I$4:$K$110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브랜딩보드">#REF!</definedName>
    <definedName name="브랜딩샷">#REF!</definedName>
    <definedName name="브랜딩스테이션">#REF!</definedName>
    <definedName name="ㅅ" hidden="1">{#N/A,#N/A,TRUE,"Y생산";#N/A,#N/A,TRUE,"Y판매";#N/A,#N/A,TRUE,"Y총물량";#N/A,#N/A,TRUE,"Y능력";#N/A,#N/A,TRUE,"YKD"}</definedName>
    <definedName name="ㅅㅅ" hidden="1">{#N/A,#N/A,FALSE,"단축1";#N/A,#N/A,FALSE,"단축2";#N/A,#N/A,FALSE,"단축3";#N/A,#N/A,FALSE,"장축";#N/A,#N/A,FALSE,"4WD"}</definedName>
    <definedName name="사">[20]위스키3!$A$1:$AC$21</definedName>
    <definedName name="사랑" hidden="1">{#N/A,#N/A,FALSE,"단축1";#N/A,#N/A,FALSE,"단축2";#N/A,#N/A,FALSE,"단축3";#N/A,#N/A,FALSE,"장축";#N/A,#N/A,FALSE,"4WD"}</definedName>
    <definedName name="사이트제작" hidden="1">#REF!</definedName>
    <definedName name="사천">#REF!</definedName>
    <definedName name="삼">[20]주류전체2!$A$34:$AC$49</definedName>
    <definedName name="삼천">#REF!</definedName>
    <definedName name="삼천만원">#REF!</definedName>
    <definedName name="상수">[4]!상수</definedName>
    <definedName name="상품명">#REF!</definedName>
    <definedName name="상품성1" hidden="1">{#N/A,#N/A,FALSE,"단축1";#N/A,#N/A,FALSE,"단축2";#N/A,#N/A,FALSE,"단축3";#N/A,#N/A,FALSE,"장축";#N/A,#N/A,FALSE,"4WD"}</definedName>
    <definedName name="상품타입">'[21]2010년 Movie DB'!#REF!</definedName>
    <definedName name="상호작용">#REF!</definedName>
    <definedName name="새로">#REF!</definedName>
    <definedName name="샌디">#N/A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서초1">[4]!서초1</definedName>
    <definedName name="서초5">[4]!서초5</definedName>
    <definedName name="선급법인세9">'[1]9-1차이내역'!#REF!</definedName>
    <definedName name="설설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소니제작가이드_다음">#REF!</definedName>
    <definedName name="소재길이">[22]Sheet1!$B$2:$B$3</definedName>
    <definedName name="소재별">[23]엔미즈_코리아!$A$2:$AA$38</definedName>
    <definedName name="소하프로젝트" hidden="1">{#N/A,#N/A,FALSE,"단축1";#N/A,#N/A,FALSE,"단축2";#N/A,#N/A,FALSE,"단축3";#N/A,#N/A,FALSE,"장축";#N/A,#N/A,FALSE,"4WD"}</definedName>
    <definedName name="손익">[9]추정손익!$A$1:$H$21</definedName>
    <definedName name="송" hidden="1">{#N/A,#N/A,TRUE,"Y생산";#N/A,#N/A,TRUE,"Y판매";#N/A,#N/A,TRUE,"Y총물량";#N/A,#N/A,TRUE,"Y능력";#N/A,#N/A,TRUE,"YKD"}</definedName>
    <definedName name="송장수령1">#REF!</definedName>
    <definedName name="송창기" hidden="1">{#N/A,#N/A,TRUE,"Y생산";#N/A,#N/A,TRUE,"Y판매";#N/A,#N/A,TRUE,"Y총물량";#N/A,#N/A,TRUE,"Y능력";#N/A,#N/A,TRUE,"YKD"}</definedName>
    <definedName name="송파" hidden="1">{"'01'!$A$1:$BO$43"}</definedName>
    <definedName name="쇼쇼쇼쇼쇼쇼쇼쇼쇼쇼" hidden="1">{#N/A,#N/A,FALSE,"단축1";#N/A,#N/A,FALSE,"단축2";#N/A,#N/A,FALSE,"단축3";#N/A,#N/A,FALSE,"장축";#N/A,#N/A,FALSE,"4WD"}</definedName>
    <definedName name="수금계획">[4]!수금계획</definedName>
    <definedName name="수정">#REF!</definedName>
    <definedName name="수정물량" hidden="1">{#N/A,#N/A,TRUE,"Y생산";#N/A,#N/A,TRUE,"Y판매";#N/A,#N/A,TRUE,"Y총물량";#N/A,#N/A,TRUE,"Y능력";#N/A,#N/A,TRUE,"YKD"}</definedName>
    <definedName name="스케쥴0908">#REF!</definedName>
    <definedName name="스포">[4]!스포</definedName>
    <definedName name="스핀브러">[4]!스핀브러</definedName>
    <definedName name="스핀브러쉬">[4]!스핀브러쉬</definedName>
    <definedName name="시간" hidden="1">{#N/A,#N/A,TRUE,"Y생산";#N/A,#N/A,TRUE,"Y판매";#N/A,#N/A,TRUE,"Y총물량";#N/A,#N/A,TRUE,"Y능력";#N/A,#N/A,TRUE,"YKD"}</definedName>
    <definedName name="시간선택">#REF!</definedName>
    <definedName name="시간입력">#REF!</definedName>
    <definedName name="시공">[9]할당!$A$1:$M$53</definedName>
    <definedName name="始業時間">[24]初期値!$C$3</definedName>
    <definedName name="시장">[8]시장!$A$1:$N$20</definedName>
    <definedName name="시트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적">[9]실적!$A$1:$J$23</definedName>
    <definedName name="실적2">#REF!</definedName>
    <definedName name="深夜開始">[24]初期値!$G$3</definedName>
    <definedName name="ㅇ" hidden="1">{#N/A,#N/A,FALSE,"단축1";#N/A,#N/A,FALSE,"단축2";#N/A,#N/A,FALSE,"단축3";#N/A,#N/A,FALSE,"장축";#N/A,#N/A,FALSE,"4WD"}</definedName>
    <definedName name="ㅇㄴ">[7]전체단가표!$A$2:$F$135</definedName>
    <definedName name="ㅇㄴㄹㄹ">#REF!</definedName>
    <definedName name="ㅇㄹ" hidden="1">{#N/A,#N/A,FALSE,"96 3월물량표";#N/A,#N/A,FALSE,"96 4월물량표";#N/A,#N/A,FALSE,"96 5월물량표"}</definedName>
    <definedName name="ㅇㄹㅇ">#REF!</definedName>
    <definedName name="ㅇㄻㄴㅇㄹ">'[25]2011년 Movie DB'!#REF!</definedName>
    <definedName name="ㅇㅁㄻㄴㅇㄹ">#REF!</definedName>
    <definedName name="ㅇㅁㅁㄴㅇㄹㄴ">#REF!</definedName>
    <definedName name="ㅇㅇ" hidden="1">#REF!</definedName>
    <definedName name="ㅇㅇㅇ">#REF!</definedName>
    <definedName name="ㅇㅇㅇㅇ" hidden="1">{#N/A,#N/A,FALSE,"단축1";#N/A,#N/A,FALSE,"단축2";#N/A,#N/A,FALSE,"단축3";#N/A,#N/A,FALSE,"장축";#N/A,#N/A,FALSE,"4WD"}</definedName>
    <definedName name="애니">#REF!</definedName>
    <definedName name="애드베이">#REF!</definedName>
    <definedName name="업종분류_중_택일">#REF!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영역">#REF!</definedName>
    <definedName name="영역1">#REF!</definedName>
    <definedName name="예산" hidden="1">{#N/A,#N/A,FALSE,"단축1";#N/A,#N/A,FALSE,"단축2";#N/A,#N/A,FALSE,"단축3";#N/A,#N/A,FALSE,"장축";#N/A,#N/A,FALSE,"4WD"}</definedName>
    <definedName name="오">[8]손익!$A$1:$G$21</definedName>
    <definedName name="오성협" hidden="1">{#N/A,#N/A,TRUE,"Y생산";#N/A,#N/A,TRUE,"Y판매";#N/A,#N/A,TRUE,"Y총물량";#N/A,#N/A,TRUE,"Y능력";#N/A,#N/A,TRUE,"YKD"}</definedName>
    <definedName name="외" hidden="1">{#N/A,#N/A,FALSE,"단축1";#N/A,#N/A,FALSE,"단축2";#N/A,#N/A,FALSE,"단축3";#N/A,#N/A,FALSE,"장축";#N/A,#N/A,FALSE,"4WD"}</definedName>
    <definedName name="외상">'[1]9-1차이내역'!#REF!</definedName>
    <definedName name="외주계획" hidden="1">{#N/A,#N/A,TRUE,"Y생산";#N/A,#N/A,TRUE,"Y판매";#N/A,#N/A,TRUE,"Y총물량";#N/A,#N/A,TRUE,"Y능력";#N/A,#N/A,TRUE,"YKD"}</definedName>
    <definedName name="曜日">#REF!</definedName>
    <definedName name="용도차" hidden="1">{#N/A,#N/A,FALSE,"단축1";#N/A,#N/A,FALSE,"단축2";#N/A,#N/A,FALSE,"단축3";#N/A,#N/A,FALSE,"장축";#N/A,#N/A,FALSE,"4WD"}</definedName>
    <definedName name="우리홈쇼핑2월_Query">#REF!</definedName>
    <definedName name="운송">'[1]9-1차이내역'!#REF!</definedName>
    <definedName name="운송ㅁ">'[1]9-1차이내역'!#REF!</definedName>
    <definedName name="운송명세">'[1]9-1차이내역'!#REF!</definedName>
    <definedName name="원가1">[9]원가!$A$1:$I$31</definedName>
    <definedName name="월">[11]월간일정표!$E$2</definedName>
    <definedName name="月別_Daily_Data_tbl">#REF!</definedName>
    <definedName name="위스퍼그린">[4]!위스퍼그린</definedName>
    <definedName name="윙" hidden="1">{#N/A,#N/A,TRUE,"Y생산";#N/A,#N/A,TRUE,"Y판매";#N/A,#N/A,TRUE,"Y총물량";#N/A,#N/A,TRUE,"Y능력";#N/A,#N/A,TRUE,"YKD"}</definedName>
    <definedName name="유럽" hidden="1">{#N/A,#N/A,FALSE,"단축1";#N/A,#N/A,FALSE,"단축2";#N/A,#N/A,FALSE,"단축3";#N/A,#N/A,FALSE,"장축";#N/A,#N/A,FALSE,"4WD"}</definedName>
    <definedName name="유사시기">#REF!</definedName>
    <definedName name="유효" hidden="1">{#N/A,#N/A,FALSE,"단축1";#N/A,#N/A,FALSE,"단축2";#N/A,#N/A,FALSE,"단축3";#N/A,#N/A,FALSE,"장축";#N/A,#N/A,FALSE,"4WD"}</definedName>
    <definedName name="육">[20]위스키3!$A$43:$AC$63</definedName>
    <definedName name="음성">#REF!</definedName>
    <definedName name="음악">#REF!</definedName>
    <definedName name="이">[20]주류전체2!$A$17:$AC$32</definedName>
    <definedName name="이근한" hidden="1">{#N/A,#N/A,FALSE,"단축1";#N/A,#N/A,FALSE,"단축2";#N/A,#N/A,FALSE,"단축3";#N/A,#N/A,FALSE,"장축";#N/A,#N/A,FALSE,"4WD"}</definedName>
    <definedName name="이론">'[1]#REF'!#REF!</definedName>
    <definedName name="이미지">#REF!</definedName>
    <definedName name="이미지배너___전면배너___확장브랜딩배너_중_택일">#REF!</definedName>
    <definedName name="이소영" hidden="1">#REF!</definedName>
    <definedName name="이천만원패키지_예시">#REF!</definedName>
    <definedName name="인계획" hidden="1">{#N/A,#N/A,TRUE,"Y생산";#N/A,#N/A,TRUE,"Y판매";#N/A,#N/A,TRUE,"Y총물량";#N/A,#N/A,TRUE,"Y능력";#N/A,#N/A,TRUE,"YKD"}</definedName>
    <definedName name="인모비">[26]채널!$C$3:$C$21</definedName>
    <definedName name="인모비2">[26]채널!$C$3:$C$21</definedName>
    <definedName name="일">[20]주류전체2!$A$1:$AC$16</definedName>
    <definedName name="일이ㅏㄹ" hidden="1">{#N/A,#N/A,FALSE,"단축1";#N/A,#N/A,FALSE,"단축2";#N/A,#N/A,FALSE,"단축3";#N/A,#N/A,FALSE,"장축";#N/A,#N/A,FALSE,"4WD"}</definedName>
    <definedName name="일정">[8]일정표!$A$1:$AG$25</definedName>
    <definedName name="임" hidden="1">{#N/A,#N/A,FALSE,"단축1";#N/A,#N/A,FALSE,"단축2";#N/A,#N/A,FALSE,"단축3";#N/A,#N/A,FALSE,"장축";#N/A,#N/A,FALSE,"4WD"}</definedName>
    <definedName name="ㅈ">#REF!</definedName>
    <definedName name="ㅈㄴ">[12]시장!$A$1:$N$20</definedName>
    <definedName name="자잦" hidden="1">{#N/A,#N/A,FALSE,"단축1";#N/A,#N/A,FALSE,"단축2";#N/A,#N/A,FALSE,"단축3";#N/A,#N/A,FALSE,"장축";#N/A,#N/A,FALSE,"4WD"}</definedName>
    <definedName name="자재기준" hidden="1">{#N/A,#N/A,TRUE,"Y생산";#N/A,#N/A,TRUE,"Y판매";#N/A,#N/A,TRUE,"Y총물량";#N/A,#N/A,TRUE,"Y능력";#N/A,#N/A,TRUE,"YKD"}</definedName>
    <definedName name="장르">#REF!</definedName>
    <definedName name="저저">[12]캔개발배경!$A$1:$O$40</definedName>
    <definedName name="저지">[12]일정표!$A$1:$AG$25</definedName>
    <definedName name="전철" hidden="1">0</definedName>
    <definedName name="전체단가표">[27]전체단가표!$A$2:$F$140</definedName>
    <definedName name="전체단가표_3">[28]전체단가표!$A$2:$F$135</definedName>
    <definedName name="접수">[13]전담운영PM!#REF!</definedName>
    <definedName name="젖" hidden="1">{#N/A,#N/A,FALSE,"단축1";#N/A,#N/A,FALSE,"단축2";#N/A,#N/A,FALSE,"단축3";#N/A,#N/A,FALSE,"장축";#N/A,#N/A,FALSE,"4WD"}</definedName>
    <definedName name="제목">[9]제목!$A$4:$I$16</definedName>
    <definedName name="제작가이드드">[29]전체단가표!$A$2:$F$140</definedName>
    <definedName name="終業時間">[24]初期値!$F$3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짜" hidden="1">{#N/A,#N/A,FALSE,"단축1";#N/A,#N/A,FALSE,"단축2";#N/A,#N/A,FALSE,"단축3";#N/A,#N/A,FALSE,"장축";#N/A,#N/A,FALSE,"4WD"}</definedName>
    <definedName name="진짜살림">[1]!진짜살림</definedName>
    <definedName name="ㅊ">[2]채널!$C$3:$C$21</definedName>
    <definedName name="ㅊㅇㅇ">#REF!</definedName>
    <definedName name="ㅊㅍ" hidden="1">{#N/A,#N/A,FALSE,"단축1";#N/A,#N/A,FALSE,"단축2";#N/A,#N/A,FALSE,"단축3";#N/A,#N/A,FALSE,"장축";#N/A,#N/A,FALSE,"4WD"}</definedName>
    <definedName name="차량실적1">#REF!</definedName>
    <definedName name="차체" hidden="1">{#N/A,#N/A,FALSE,"단축1";#N/A,#N/A,FALSE,"단축2";#N/A,#N/A,FALSE,"단축3";#N/A,#N/A,FALSE,"장축";#N/A,#N/A,FALSE,"4WD"}</definedName>
    <definedName name="참고" hidden="1">{#N/A,#N/A,FALSE,"단축1";#N/A,#N/A,FALSE,"단축2";#N/A,#N/A,FALSE,"단축3";#N/A,#N/A,FALSE,"장축";#N/A,#N/A,FALSE,"4WD"}</definedName>
    <definedName name="참고1" hidden="1">{#N/A,#N/A,FALSE,"단축1";#N/A,#N/A,FALSE,"단축2";#N/A,#N/A,FALSE,"단축3";#N/A,#N/A,FALSE,"장축";#N/A,#N/A,FALSE,"4WD"}</definedName>
    <definedName name="창고보관">#REF!</definedName>
    <definedName name="창고화물검사">#REF!</definedName>
    <definedName name="창고화물취급">#REF!</definedName>
    <definedName name="채널">'[10]ART_9월+10월+11월 큐시트'!$P$4:$P$11</definedName>
    <definedName name="채널명">[30]채널!$C$3:$C$21</definedName>
    <definedName name="천만원패키지">#REF!</definedName>
    <definedName name="체크리스트" hidden="1">{#N/A,#N/A,FALSE,"Chi tiÆt"}</definedName>
    <definedName name="초기여백">#REF!</definedName>
    <definedName name="초수">#REF!</definedName>
    <definedName name="추진과제" hidden="1">{#N/A,#N/A,FALSE,"단축1";#N/A,#N/A,FALSE,"단축2";#N/A,#N/A,FALSE,"단축3";#N/A,#N/A,FALSE,"장축";#N/A,#N/A,FALSE,"4WD"}</definedName>
    <definedName name="축소">#REF!</definedName>
    <definedName name="축소1">#REF!</definedName>
    <definedName name="출고가">'[9]원가,목표'!$A$1:$H$14</definedName>
    <definedName name="취소">[1]!취소</definedName>
    <definedName name="ㅋㅋ" hidden="1">{#N/A,#N/A,TRUE,"Y생산";#N/A,#N/A,TRUE,"Y판매";#N/A,#N/A,TRUE,"Y총물량";#N/A,#N/A,TRUE,"Y능력";#N/A,#N/A,TRUE,"YKD"}</definedName>
    <definedName name="ㅋㅋㅋ">[4]!ㅋㅋㅋ</definedName>
    <definedName name="ㅋㅌ" hidden="1">{#N/A,#N/A,FALSE,"단축1";#N/A,#N/A,FALSE,"단축2";#N/A,#N/A,FALSE,"단축3";#N/A,#N/A,FALSE,"장축";#N/A,#N/A,FALSE,"4WD"}</definedName>
    <definedName name="컨텐츠">#REF!</definedName>
    <definedName name="큐시트">[4]!큐시트</definedName>
    <definedName name="ㅌ">'[16]2010년 라인업'!#REF!</definedName>
    <definedName name="타겟팅">#REF!</definedName>
    <definedName name="텍스트_배경컬러">#REF!</definedName>
    <definedName name="텍스트_본문컬러">#REF!</definedName>
    <definedName name="텍스트_제목컬러">#REF!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가격" hidden="1">{#N/A,#N/A,FALSE,"단축1";#N/A,#N/A,FALSE,"단축2";#N/A,#N/A,FALSE,"단축3";#N/A,#N/A,FALSE,"장축";#N/A,#N/A,FALSE,"4WD"}</definedName>
    <definedName name="판매계획">[9]판매!$A$1:$G$24</definedName>
    <definedName name="판스티커">#REF!</definedName>
    <definedName name="판촉">[9]판촉!$A$1:$L$27</definedName>
    <definedName name="패턴화면">#REF!</definedName>
    <definedName name="평균검색">#REF!</definedName>
    <definedName name="포지1" hidden="1">{#N/A,#N/A,FALSE,"단축1";#N/A,#N/A,FALSE,"단축2";#N/A,#N/A,FALSE,"단축3";#N/A,#N/A,FALSE,"장축";#N/A,#N/A,FALSE,"4WD"}</definedName>
    <definedName name="표지">[31]표지!$A$1:$G$15</definedName>
    <definedName name="표지_PTN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프리베나_Daily_Report">#REF!</definedName>
    <definedName name="필드">#REF!</definedName>
    <definedName name="ㅎ" hidden="1">{#N/A,#N/A,FALSE,"단축1";#N/A,#N/A,FALSE,"단축2";#N/A,#N/A,FALSE,"단축3";#N/A,#N/A,FALSE,"장축";#N/A,#N/A,FALSE,"4WD"}</definedName>
    <definedName name="ㅎㅎㅎ" hidden="1">#REF!</definedName>
    <definedName name="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항" hidden="1">{#N/A,#N/A,FALSE,"단축1";#N/A,#N/A,FALSE,"단축2";#N/A,#N/A,FALSE,"단축3";#N/A,#N/A,FALSE,"장축";#N/A,#N/A,FALSE,"4WD"}</definedName>
    <definedName name="행복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現代綜合商事經由分">'[1]#REF'!#REF!</definedName>
    <definedName name="협조">[9]협조!$A$2:$K$33</definedName>
    <definedName name="호">#REF!</definedName>
    <definedName name="화주요구접수">#REF!</definedName>
    <definedName name="ㅏ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ㅣㅐㅍ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ㅛㅕㅗㅓ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ㅜ1">[32]품종별월계!#REF!</definedName>
    <definedName name="ㅠㅠㅠ" hidden="1">#REF!</definedName>
    <definedName name="ㅡ" hidden="1">{#N/A,#N/A,FALSE,"단축1";#N/A,#N/A,FALSE,"단축2";#N/A,#N/A,FALSE,"단축3";#N/A,#N/A,FALSE,"장축";#N/A,#N/A,FALSE,"4WD"}</definedName>
    <definedName name="ㅣ" hidden="1">{#N/A,#N/A,FALSE,"신규dep";#N/A,#N/A,FALSE,"신규dep-금형상각후";#N/A,#N/A,FALSE,"신규dep-연구비상각후";#N/A,#N/A,FALSE,"신규dep-기계,공구상각후"}</definedName>
    <definedName name="ㅣㅣ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3" l="1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4" i="3"/>
  <c r="Q677" i="2"/>
  <c r="P677" i="2"/>
  <c r="O677" i="2"/>
  <c r="N677" i="2"/>
  <c r="M677" i="2"/>
  <c r="Q676" i="2"/>
  <c r="P676" i="2"/>
  <c r="O676" i="2"/>
  <c r="N676" i="2"/>
  <c r="M676" i="2"/>
  <c r="Q675" i="2"/>
  <c r="P675" i="2"/>
  <c r="O675" i="2"/>
  <c r="N675" i="2"/>
  <c r="M675" i="2"/>
  <c r="Q674" i="2"/>
  <c r="P674" i="2"/>
  <c r="O674" i="2"/>
  <c r="N674" i="2"/>
  <c r="M674" i="2"/>
  <c r="Q673" i="2"/>
  <c r="P673" i="2"/>
  <c r="O673" i="2"/>
  <c r="N673" i="2"/>
  <c r="M673" i="2"/>
  <c r="Q672" i="2"/>
  <c r="P672" i="2"/>
  <c r="O672" i="2"/>
  <c r="N672" i="2"/>
  <c r="M672" i="2"/>
  <c r="Q671" i="2"/>
  <c r="P671" i="2"/>
  <c r="O671" i="2"/>
  <c r="N671" i="2"/>
  <c r="M671" i="2"/>
  <c r="Q658" i="2"/>
  <c r="P658" i="2"/>
  <c r="O658" i="2"/>
  <c r="N658" i="2"/>
  <c r="M658" i="2"/>
  <c r="Q657" i="2"/>
  <c r="P657" i="2"/>
  <c r="O657" i="2"/>
  <c r="N657" i="2"/>
  <c r="M657" i="2"/>
  <c r="Q656" i="2"/>
  <c r="P656" i="2"/>
  <c r="O656" i="2"/>
  <c r="N656" i="2"/>
  <c r="M656" i="2"/>
  <c r="Q655" i="2"/>
  <c r="P655" i="2"/>
  <c r="O655" i="2"/>
  <c r="N655" i="2"/>
  <c r="M655" i="2"/>
  <c r="Q654" i="2"/>
  <c r="P654" i="2"/>
  <c r="O654" i="2"/>
  <c r="N654" i="2"/>
  <c r="M654" i="2"/>
  <c r="Q653" i="2"/>
  <c r="P653" i="2"/>
  <c r="O653" i="2"/>
  <c r="N653" i="2"/>
  <c r="M653" i="2"/>
  <c r="Q652" i="2"/>
  <c r="P652" i="2"/>
  <c r="O652" i="2"/>
  <c r="N652" i="2"/>
  <c r="M652" i="2"/>
  <c r="Q639" i="2"/>
  <c r="P639" i="2"/>
  <c r="O639" i="2"/>
  <c r="N639" i="2"/>
  <c r="M639" i="2"/>
  <c r="Q638" i="2"/>
  <c r="P638" i="2"/>
  <c r="O638" i="2"/>
  <c r="N638" i="2"/>
  <c r="M638" i="2"/>
  <c r="Q637" i="2"/>
  <c r="P637" i="2"/>
  <c r="O637" i="2"/>
  <c r="N637" i="2"/>
  <c r="M637" i="2"/>
  <c r="Q636" i="2"/>
  <c r="P636" i="2"/>
  <c r="O636" i="2"/>
  <c r="N636" i="2"/>
  <c r="M636" i="2"/>
  <c r="Q635" i="2"/>
  <c r="P635" i="2"/>
  <c r="O635" i="2"/>
  <c r="N635" i="2"/>
  <c r="M635" i="2"/>
  <c r="Q634" i="2"/>
  <c r="P634" i="2"/>
  <c r="O634" i="2"/>
  <c r="N634" i="2"/>
  <c r="M634" i="2"/>
  <c r="Q633" i="2"/>
  <c r="P633" i="2"/>
  <c r="O633" i="2"/>
  <c r="N633" i="2"/>
  <c r="M633" i="2"/>
  <c r="Q620" i="2"/>
  <c r="P620" i="2"/>
  <c r="O620" i="2"/>
  <c r="N620" i="2"/>
  <c r="M620" i="2"/>
  <c r="Q619" i="2"/>
  <c r="P619" i="2"/>
  <c r="O619" i="2"/>
  <c r="N619" i="2"/>
  <c r="M619" i="2"/>
  <c r="Q618" i="2"/>
  <c r="P618" i="2"/>
  <c r="O618" i="2"/>
  <c r="N618" i="2"/>
  <c r="M618" i="2"/>
  <c r="Q617" i="2"/>
  <c r="P617" i="2"/>
  <c r="O617" i="2"/>
  <c r="N617" i="2"/>
  <c r="M617" i="2"/>
  <c r="Q616" i="2"/>
  <c r="P616" i="2"/>
  <c r="O616" i="2"/>
  <c r="N616" i="2"/>
  <c r="M616" i="2"/>
  <c r="Q615" i="2"/>
  <c r="P615" i="2"/>
  <c r="O615" i="2"/>
  <c r="N615" i="2"/>
  <c r="M615" i="2"/>
  <c r="Q614" i="2"/>
  <c r="P614" i="2"/>
  <c r="O614" i="2"/>
  <c r="N614" i="2"/>
  <c r="M614" i="2"/>
  <c r="Q601" i="2"/>
  <c r="P601" i="2"/>
  <c r="O601" i="2"/>
  <c r="N601" i="2"/>
  <c r="M601" i="2"/>
  <c r="Q600" i="2"/>
  <c r="P600" i="2"/>
  <c r="O600" i="2"/>
  <c r="N600" i="2"/>
  <c r="M600" i="2"/>
  <c r="Q599" i="2"/>
  <c r="P599" i="2"/>
  <c r="O599" i="2"/>
  <c r="N599" i="2"/>
  <c r="M599" i="2"/>
  <c r="Q598" i="2"/>
  <c r="P598" i="2"/>
  <c r="O598" i="2"/>
  <c r="N598" i="2"/>
  <c r="M598" i="2"/>
  <c r="Q597" i="2"/>
  <c r="P597" i="2"/>
  <c r="O597" i="2"/>
  <c r="N597" i="2"/>
  <c r="M597" i="2"/>
  <c r="Q596" i="2"/>
  <c r="P596" i="2"/>
  <c r="O596" i="2"/>
  <c r="N596" i="2"/>
  <c r="M596" i="2"/>
  <c r="Q595" i="2"/>
  <c r="P595" i="2"/>
  <c r="O595" i="2"/>
  <c r="N595" i="2"/>
  <c r="M595" i="2"/>
  <c r="Q582" i="2"/>
  <c r="P582" i="2"/>
  <c r="O582" i="2"/>
  <c r="N582" i="2"/>
  <c r="M582" i="2"/>
  <c r="Q581" i="2"/>
  <c r="P581" i="2"/>
  <c r="O581" i="2"/>
  <c r="N581" i="2"/>
  <c r="M581" i="2"/>
  <c r="Q580" i="2"/>
  <c r="P580" i="2"/>
  <c r="O580" i="2"/>
  <c r="N580" i="2"/>
  <c r="M580" i="2"/>
  <c r="Q579" i="2"/>
  <c r="P579" i="2"/>
  <c r="O579" i="2"/>
  <c r="N579" i="2"/>
  <c r="M579" i="2"/>
  <c r="Q578" i="2"/>
  <c r="P578" i="2"/>
  <c r="O578" i="2"/>
  <c r="N578" i="2"/>
  <c r="M578" i="2"/>
  <c r="Q577" i="2"/>
  <c r="P577" i="2"/>
  <c r="O577" i="2"/>
  <c r="N577" i="2"/>
  <c r="M577" i="2"/>
  <c r="Q576" i="2"/>
  <c r="P576" i="2"/>
  <c r="O576" i="2"/>
  <c r="N576" i="2"/>
  <c r="M576" i="2"/>
  <c r="Q563" i="2"/>
  <c r="P563" i="2"/>
  <c r="O563" i="2"/>
  <c r="N563" i="2"/>
  <c r="M563" i="2"/>
  <c r="Q562" i="2"/>
  <c r="P562" i="2"/>
  <c r="O562" i="2"/>
  <c r="N562" i="2"/>
  <c r="M562" i="2"/>
  <c r="Q561" i="2"/>
  <c r="P561" i="2"/>
  <c r="O561" i="2"/>
  <c r="N561" i="2"/>
  <c r="M561" i="2"/>
  <c r="Q560" i="2"/>
  <c r="P560" i="2"/>
  <c r="O560" i="2"/>
  <c r="N560" i="2"/>
  <c r="M560" i="2"/>
  <c r="Q559" i="2"/>
  <c r="P559" i="2"/>
  <c r="O559" i="2"/>
  <c r="N559" i="2"/>
  <c r="M559" i="2"/>
  <c r="Q558" i="2"/>
  <c r="P558" i="2"/>
  <c r="O558" i="2"/>
  <c r="N558" i="2"/>
  <c r="M558" i="2"/>
  <c r="Q557" i="2"/>
  <c r="P557" i="2"/>
  <c r="O557" i="2"/>
  <c r="N557" i="2"/>
  <c r="M557" i="2"/>
  <c r="Q544" i="2"/>
  <c r="P544" i="2"/>
  <c r="O544" i="2"/>
  <c r="N544" i="2"/>
  <c r="M544" i="2"/>
  <c r="Q543" i="2"/>
  <c r="P543" i="2"/>
  <c r="O543" i="2"/>
  <c r="N543" i="2"/>
  <c r="M543" i="2"/>
  <c r="Q542" i="2"/>
  <c r="P542" i="2"/>
  <c r="O542" i="2"/>
  <c r="N542" i="2"/>
  <c r="M542" i="2"/>
  <c r="Q541" i="2"/>
  <c r="P541" i="2"/>
  <c r="O541" i="2"/>
  <c r="N541" i="2"/>
  <c r="M541" i="2"/>
  <c r="Q540" i="2"/>
  <c r="P540" i="2"/>
  <c r="O540" i="2"/>
  <c r="N540" i="2"/>
  <c r="M540" i="2"/>
  <c r="Q539" i="2"/>
  <c r="P539" i="2"/>
  <c r="O539" i="2"/>
  <c r="N539" i="2"/>
  <c r="M539" i="2"/>
  <c r="Q538" i="2"/>
  <c r="P538" i="2"/>
  <c r="O538" i="2"/>
  <c r="N538" i="2"/>
  <c r="M538" i="2"/>
  <c r="Q523" i="2"/>
  <c r="P523" i="2"/>
  <c r="O523" i="2"/>
  <c r="N523" i="2"/>
  <c r="M523" i="2"/>
  <c r="Q522" i="2"/>
  <c r="P522" i="2"/>
  <c r="O522" i="2"/>
  <c r="N522" i="2"/>
  <c r="M522" i="2"/>
  <c r="Q521" i="2"/>
  <c r="P521" i="2"/>
  <c r="O521" i="2"/>
  <c r="N521" i="2"/>
  <c r="M521" i="2"/>
  <c r="Q520" i="2"/>
  <c r="P520" i="2"/>
  <c r="O520" i="2"/>
  <c r="N520" i="2"/>
  <c r="M520" i="2"/>
  <c r="Q519" i="2"/>
  <c r="P519" i="2"/>
  <c r="O519" i="2"/>
  <c r="N519" i="2"/>
  <c r="M519" i="2"/>
  <c r="Q518" i="2"/>
  <c r="P518" i="2"/>
  <c r="O518" i="2"/>
  <c r="N518" i="2"/>
  <c r="M518" i="2"/>
  <c r="Q517" i="2"/>
  <c r="P517" i="2"/>
  <c r="O517" i="2"/>
  <c r="N517" i="2"/>
  <c r="M517" i="2"/>
  <c r="Q502" i="2"/>
  <c r="P502" i="2"/>
  <c r="O502" i="2"/>
  <c r="N502" i="2"/>
  <c r="M502" i="2"/>
  <c r="Q501" i="2"/>
  <c r="P501" i="2"/>
  <c r="O501" i="2"/>
  <c r="N501" i="2"/>
  <c r="M501" i="2"/>
  <c r="Q500" i="2"/>
  <c r="P500" i="2"/>
  <c r="O500" i="2"/>
  <c r="N500" i="2"/>
  <c r="M500" i="2"/>
  <c r="Q499" i="2"/>
  <c r="P499" i="2"/>
  <c r="O499" i="2"/>
  <c r="N499" i="2"/>
  <c r="M499" i="2"/>
  <c r="Q498" i="2"/>
  <c r="P498" i="2"/>
  <c r="O498" i="2"/>
  <c r="N498" i="2"/>
  <c r="M498" i="2"/>
  <c r="Q497" i="2"/>
  <c r="P497" i="2"/>
  <c r="O497" i="2"/>
  <c r="N497" i="2"/>
  <c r="M497" i="2"/>
  <c r="Q496" i="2"/>
  <c r="P496" i="2"/>
  <c r="O496" i="2"/>
  <c r="N496" i="2"/>
  <c r="M496" i="2"/>
  <c r="Q480" i="2"/>
  <c r="P480" i="2"/>
  <c r="O480" i="2"/>
  <c r="N480" i="2"/>
  <c r="M480" i="2"/>
  <c r="Q479" i="2"/>
  <c r="P479" i="2"/>
  <c r="O479" i="2"/>
  <c r="N479" i="2"/>
  <c r="M479" i="2"/>
  <c r="Q478" i="2"/>
  <c r="P478" i="2"/>
  <c r="O478" i="2"/>
  <c r="N478" i="2"/>
  <c r="M478" i="2"/>
  <c r="Q477" i="2"/>
  <c r="P477" i="2"/>
  <c r="O477" i="2"/>
  <c r="N477" i="2"/>
  <c r="M477" i="2"/>
  <c r="Q476" i="2"/>
  <c r="P476" i="2"/>
  <c r="O476" i="2"/>
  <c r="N476" i="2"/>
  <c r="M476" i="2"/>
  <c r="Q475" i="2"/>
  <c r="P475" i="2"/>
  <c r="O475" i="2"/>
  <c r="N475" i="2"/>
  <c r="M475" i="2"/>
  <c r="Q474" i="2"/>
  <c r="P474" i="2"/>
  <c r="O474" i="2"/>
  <c r="N474" i="2"/>
  <c r="M474" i="2"/>
  <c r="Q458" i="2"/>
  <c r="P458" i="2"/>
  <c r="O458" i="2"/>
  <c r="N458" i="2"/>
  <c r="M458" i="2"/>
  <c r="Q457" i="2"/>
  <c r="P457" i="2"/>
  <c r="O457" i="2"/>
  <c r="N457" i="2"/>
  <c r="M457" i="2"/>
  <c r="Q456" i="2"/>
  <c r="P456" i="2"/>
  <c r="O456" i="2"/>
  <c r="N456" i="2"/>
  <c r="M456" i="2"/>
  <c r="Q455" i="2"/>
  <c r="P455" i="2"/>
  <c r="O455" i="2"/>
  <c r="N455" i="2"/>
  <c r="M455" i="2"/>
  <c r="Q454" i="2"/>
  <c r="P454" i="2"/>
  <c r="O454" i="2"/>
  <c r="N454" i="2"/>
  <c r="M454" i="2"/>
  <c r="Q453" i="2"/>
  <c r="P453" i="2"/>
  <c r="O453" i="2"/>
  <c r="N453" i="2"/>
  <c r="M453" i="2"/>
  <c r="Q452" i="2"/>
  <c r="P452" i="2"/>
  <c r="O452" i="2"/>
  <c r="N452" i="2"/>
  <c r="M452" i="2"/>
  <c r="Q436" i="2"/>
  <c r="P436" i="2"/>
  <c r="O436" i="2"/>
  <c r="N436" i="2"/>
  <c r="M436" i="2"/>
  <c r="Q435" i="2"/>
  <c r="P435" i="2"/>
  <c r="O435" i="2"/>
  <c r="N435" i="2"/>
  <c r="M435" i="2"/>
  <c r="Q434" i="2"/>
  <c r="P434" i="2"/>
  <c r="O434" i="2"/>
  <c r="N434" i="2"/>
  <c r="M434" i="2"/>
  <c r="Q433" i="2"/>
  <c r="P433" i="2"/>
  <c r="O433" i="2"/>
  <c r="N433" i="2"/>
  <c r="M433" i="2"/>
  <c r="Q432" i="2"/>
  <c r="P432" i="2"/>
  <c r="O432" i="2"/>
  <c r="N432" i="2"/>
  <c r="M432" i="2"/>
  <c r="Q431" i="2"/>
  <c r="P431" i="2"/>
  <c r="O431" i="2"/>
  <c r="N431" i="2"/>
  <c r="M431" i="2"/>
  <c r="Q430" i="2"/>
  <c r="P430" i="2"/>
  <c r="O430" i="2"/>
  <c r="N430" i="2"/>
  <c r="M430" i="2"/>
  <c r="Q415" i="2"/>
  <c r="P415" i="2"/>
  <c r="O415" i="2"/>
  <c r="N415" i="2"/>
  <c r="M415" i="2"/>
  <c r="Q414" i="2"/>
  <c r="P414" i="2"/>
  <c r="O414" i="2"/>
  <c r="N414" i="2"/>
  <c r="M414" i="2"/>
  <c r="Q413" i="2"/>
  <c r="P413" i="2"/>
  <c r="O413" i="2"/>
  <c r="N413" i="2"/>
  <c r="M413" i="2"/>
  <c r="Q412" i="2"/>
  <c r="P412" i="2"/>
  <c r="O412" i="2"/>
  <c r="N412" i="2"/>
  <c r="M412" i="2"/>
  <c r="Q411" i="2"/>
  <c r="P411" i="2"/>
  <c r="O411" i="2"/>
  <c r="N411" i="2"/>
  <c r="M411" i="2"/>
  <c r="Q410" i="2"/>
  <c r="P410" i="2"/>
  <c r="O410" i="2"/>
  <c r="N410" i="2"/>
  <c r="M410" i="2"/>
  <c r="Q409" i="2"/>
  <c r="P409" i="2"/>
  <c r="O409" i="2"/>
  <c r="N409" i="2"/>
  <c r="M409" i="2"/>
  <c r="Q394" i="2"/>
  <c r="P394" i="2"/>
  <c r="O394" i="2"/>
  <c r="N394" i="2"/>
  <c r="M394" i="2"/>
  <c r="Q393" i="2"/>
  <c r="P393" i="2"/>
  <c r="O393" i="2"/>
  <c r="N393" i="2"/>
  <c r="M393" i="2"/>
  <c r="Q392" i="2"/>
  <c r="P392" i="2"/>
  <c r="O392" i="2"/>
  <c r="N392" i="2"/>
  <c r="M392" i="2"/>
  <c r="Q391" i="2"/>
  <c r="P391" i="2"/>
  <c r="O391" i="2"/>
  <c r="N391" i="2"/>
  <c r="M391" i="2"/>
  <c r="Q390" i="2"/>
  <c r="P390" i="2"/>
  <c r="O390" i="2"/>
  <c r="N390" i="2"/>
  <c r="M390" i="2"/>
  <c r="Q389" i="2"/>
  <c r="P389" i="2"/>
  <c r="O389" i="2"/>
  <c r="N389" i="2"/>
  <c r="M389" i="2"/>
  <c r="Q388" i="2"/>
  <c r="P388" i="2"/>
  <c r="O388" i="2"/>
  <c r="N388" i="2"/>
  <c r="M388" i="2"/>
  <c r="Q373" i="2"/>
  <c r="P373" i="2"/>
  <c r="O373" i="2"/>
  <c r="N373" i="2"/>
  <c r="M373" i="2"/>
  <c r="Q372" i="2"/>
  <c r="P372" i="2"/>
  <c r="O372" i="2"/>
  <c r="N372" i="2"/>
  <c r="M372" i="2"/>
  <c r="Q371" i="2"/>
  <c r="P371" i="2"/>
  <c r="O371" i="2"/>
  <c r="N371" i="2"/>
  <c r="M371" i="2"/>
  <c r="Q370" i="2"/>
  <c r="P370" i="2"/>
  <c r="O370" i="2"/>
  <c r="N370" i="2"/>
  <c r="M370" i="2"/>
  <c r="Q369" i="2"/>
  <c r="P369" i="2"/>
  <c r="O369" i="2"/>
  <c r="N369" i="2"/>
  <c r="M369" i="2"/>
  <c r="Q368" i="2"/>
  <c r="P368" i="2"/>
  <c r="O368" i="2"/>
  <c r="N368" i="2"/>
  <c r="M368" i="2"/>
  <c r="Q367" i="2"/>
  <c r="P367" i="2"/>
  <c r="O367" i="2"/>
  <c r="N367" i="2"/>
  <c r="M367" i="2"/>
  <c r="Q366" i="2"/>
  <c r="P366" i="2"/>
  <c r="O366" i="2"/>
  <c r="N366" i="2"/>
  <c r="M366" i="2"/>
  <c r="Q349" i="2"/>
  <c r="P349" i="2"/>
  <c r="O349" i="2"/>
  <c r="N349" i="2"/>
  <c r="M349" i="2"/>
  <c r="Q348" i="2"/>
  <c r="P348" i="2"/>
  <c r="O348" i="2"/>
  <c r="N348" i="2"/>
  <c r="M348" i="2"/>
  <c r="Q347" i="2"/>
  <c r="P347" i="2"/>
  <c r="O347" i="2"/>
  <c r="N347" i="2"/>
  <c r="M347" i="2"/>
  <c r="Q346" i="2"/>
  <c r="P346" i="2"/>
  <c r="O346" i="2"/>
  <c r="N346" i="2"/>
  <c r="M346" i="2"/>
  <c r="Q345" i="2"/>
  <c r="P345" i="2"/>
  <c r="O345" i="2"/>
  <c r="N345" i="2"/>
  <c r="M345" i="2"/>
  <c r="Q344" i="2"/>
  <c r="P344" i="2"/>
  <c r="O344" i="2"/>
  <c r="N344" i="2"/>
  <c r="M344" i="2"/>
  <c r="Q343" i="2"/>
  <c r="P343" i="2"/>
  <c r="O343" i="2"/>
  <c r="N343" i="2"/>
  <c r="M343" i="2"/>
  <c r="Q342" i="2"/>
  <c r="P342" i="2"/>
  <c r="O342" i="2"/>
  <c r="N342" i="2"/>
  <c r="M342" i="2"/>
  <c r="Q325" i="2"/>
  <c r="P325" i="2"/>
  <c r="O325" i="2"/>
  <c r="N325" i="2"/>
  <c r="M325" i="2"/>
  <c r="Q324" i="2"/>
  <c r="P324" i="2"/>
  <c r="O324" i="2"/>
  <c r="N324" i="2"/>
  <c r="M324" i="2"/>
  <c r="Q323" i="2"/>
  <c r="P323" i="2"/>
  <c r="O323" i="2"/>
  <c r="N323" i="2"/>
  <c r="M323" i="2"/>
  <c r="Q322" i="2"/>
  <c r="P322" i="2"/>
  <c r="O322" i="2"/>
  <c r="N322" i="2"/>
  <c r="M322" i="2"/>
  <c r="Q321" i="2"/>
  <c r="P321" i="2"/>
  <c r="O321" i="2"/>
  <c r="N321" i="2"/>
  <c r="M321" i="2"/>
  <c r="Q320" i="2"/>
  <c r="P320" i="2"/>
  <c r="O320" i="2"/>
  <c r="N320" i="2"/>
  <c r="M320" i="2"/>
  <c r="Q319" i="2"/>
  <c r="P319" i="2"/>
  <c r="O319" i="2"/>
  <c r="N319" i="2"/>
  <c r="M319" i="2"/>
  <c r="Q318" i="2"/>
  <c r="P318" i="2"/>
  <c r="O318" i="2"/>
  <c r="N318" i="2"/>
  <c r="M318" i="2"/>
  <c r="Q301" i="2"/>
  <c r="P301" i="2"/>
  <c r="O301" i="2"/>
  <c r="N301" i="2"/>
  <c r="M301" i="2"/>
  <c r="Q300" i="2"/>
  <c r="P300" i="2"/>
  <c r="O300" i="2"/>
  <c r="N300" i="2"/>
  <c r="M300" i="2"/>
  <c r="Q299" i="2"/>
  <c r="P299" i="2"/>
  <c r="O299" i="2"/>
  <c r="N299" i="2"/>
  <c r="M299" i="2"/>
  <c r="Q298" i="2"/>
  <c r="P298" i="2"/>
  <c r="O298" i="2"/>
  <c r="N298" i="2"/>
  <c r="M298" i="2"/>
  <c r="Q297" i="2"/>
  <c r="P297" i="2"/>
  <c r="O297" i="2"/>
  <c r="N297" i="2"/>
  <c r="M297" i="2"/>
  <c r="Q296" i="2"/>
  <c r="P296" i="2"/>
  <c r="O296" i="2"/>
  <c r="N296" i="2"/>
  <c r="M296" i="2"/>
  <c r="Q295" i="2"/>
  <c r="P295" i="2"/>
  <c r="O295" i="2"/>
  <c r="N295" i="2"/>
  <c r="M295" i="2"/>
  <c r="Q294" i="2"/>
  <c r="P294" i="2"/>
  <c r="O294" i="2"/>
  <c r="N294" i="2"/>
  <c r="M294" i="2"/>
  <c r="Q277" i="2"/>
  <c r="P277" i="2"/>
  <c r="O277" i="2"/>
  <c r="N277" i="2"/>
  <c r="M277" i="2"/>
  <c r="Q276" i="2"/>
  <c r="P276" i="2"/>
  <c r="O276" i="2"/>
  <c r="N276" i="2"/>
  <c r="M276" i="2"/>
  <c r="Q275" i="2"/>
  <c r="P275" i="2"/>
  <c r="O275" i="2"/>
  <c r="N275" i="2"/>
  <c r="M275" i="2"/>
  <c r="Q274" i="2"/>
  <c r="P274" i="2"/>
  <c r="O274" i="2"/>
  <c r="N274" i="2"/>
  <c r="M274" i="2"/>
  <c r="Q273" i="2"/>
  <c r="P273" i="2"/>
  <c r="O273" i="2"/>
  <c r="N273" i="2"/>
  <c r="M273" i="2"/>
  <c r="Q272" i="2"/>
  <c r="P272" i="2"/>
  <c r="O272" i="2"/>
  <c r="N272" i="2"/>
  <c r="M272" i="2"/>
  <c r="Q271" i="2"/>
  <c r="P271" i="2"/>
  <c r="O271" i="2"/>
  <c r="N271" i="2"/>
  <c r="M271" i="2"/>
  <c r="Q270" i="2"/>
  <c r="P270" i="2"/>
  <c r="O270" i="2"/>
  <c r="N270" i="2"/>
  <c r="M270" i="2"/>
  <c r="Q253" i="2"/>
  <c r="P253" i="2"/>
  <c r="O253" i="2"/>
  <c r="N253" i="2"/>
  <c r="M253" i="2"/>
  <c r="Q252" i="2"/>
  <c r="P252" i="2"/>
  <c r="O252" i="2"/>
  <c r="N252" i="2"/>
  <c r="M252" i="2"/>
  <c r="Q251" i="2"/>
  <c r="P251" i="2"/>
  <c r="O251" i="2"/>
  <c r="N251" i="2"/>
  <c r="M251" i="2"/>
  <c r="Q250" i="2"/>
  <c r="P250" i="2"/>
  <c r="O250" i="2"/>
  <c r="N250" i="2"/>
  <c r="M250" i="2"/>
  <c r="Q249" i="2"/>
  <c r="P249" i="2"/>
  <c r="O249" i="2"/>
  <c r="N249" i="2"/>
  <c r="M249" i="2"/>
  <c r="Q248" i="2"/>
  <c r="P248" i="2"/>
  <c r="O248" i="2"/>
  <c r="N248" i="2"/>
  <c r="M248" i="2"/>
  <c r="Q247" i="2"/>
  <c r="P247" i="2"/>
  <c r="O247" i="2"/>
  <c r="N247" i="2"/>
  <c r="M247" i="2"/>
  <c r="Q246" i="2"/>
  <c r="P246" i="2"/>
  <c r="O246" i="2"/>
  <c r="N246" i="2"/>
  <c r="M246" i="2"/>
  <c r="Q229" i="2"/>
  <c r="P229" i="2"/>
  <c r="O229" i="2"/>
  <c r="N229" i="2"/>
  <c r="M229" i="2"/>
  <c r="Q228" i="2"/>
  <c r="P228" i="2"/>
  <c r="O228" i="2"/>
  <c r="N228" i="2"/>
  <c r="M228" i="2"/>
  <c r="Q227" i="2"/>
  <c r="P227" i="2"/>
  <c r="O227" i="2"/>
  <c r="N227" i="2"/>
  <c r="M227" i="2"/>
  <c r="Q226" i="2"/>
  <c r="P226" i="2"/>
  <c r="O226" i="2"/>
  <c r="N226" i="2"/>
  <c r="M226" i="2"/>
  <c r="Q225" i="2"/>
  <c r="P225" i="2"/>
  <c r="O225" i="2"/>
  <c r="N225" i="2"/>
  <c r="M225" i="2"/>
  <c r="Q224" i="2"/>
  <c r="P224" i="2"/>
  <c r="O224" i="2"/>
  <c r="N224" i="2"/>
  <c r="M224" i="2"/>
  <c r="Q223" i="2"/>
  <c r="P223" i="2"/>
  <c r="O223" i="2"/>
  <c r="N223" i="2"/>
  <c r="M223" i="2"/>
  <c r="Q222" i="2"/>
  <c r="P222" i="2"/>
  <c r="O222" i="2"/>
  <c r="N222" i="2"/>
  <c r="M222" i="2"/>
  <c r="Q205" i="2"/>
  <c r="P205" i="2"/>
  <c r="O205" i="2"/>
  <c r="N205" i="2"/>
  <c r="M205" i="2"/>
  <c r="Q204" i="2"/>
  <c r="P204" i="2"/>
  <c r="O204" i="2"/>
  <c r="N204" i="2"/>
  <c r="M204" i="2"/>
  <c r="Q203" i="2"/>
  <c r="P203" i="2"/>
  <c r="O203" i="2"/>
  <c r="N203" i="2"/>
  <c r="M203" i="2"/>
  <c r="Q202" i="2"/>
  <c r="P202" i="2"/>
  <c r="O202" i="2"/>
  <c r="N202" i="2"/>
  <c r="M202" i="2"/>
  <c r="Q201" i="2"/>
  <c r="P201" i="2"/>
  <c r="O201" i="2"/>
  <c r="N201" i="2"/>
  <c r="M201" i="2"/>
  <c r="Q200" i="2"/>
  <c r="P200" i="2"/>
  <c r="O200" i="2"/>
  <c r="N200" i="2"/>
  <c r="M200" i="2"/>
  <c r="Q199" i="2"/>
  <c r="P199" i="2"/>
  <c r="O199" i="2"/>
  <c r="N199" i="2"/>
  <c r="M199" i="2"/>
  <c r="Q198" i="2"/>
  <c r="P198" i="2"/>
  <c r="O198" i="2"/>
  <c r="N198" i="2"/>
  <c r="M198" i="2"/>
  <c r="Q181" i="2"/>
  <c r="P181" i="2"/>
  <c r="O181" i="2"/>
  <c r="N181" i="2"/>
  <c r="M181" i="2"/>
  <c r="Q180" i="2"/>
  <c r="P180" i="2"/>
  <c r="O180" i="2"/>
  <c r="N180" i="2"/>
  <c r="M180" i="2"/>
  <c r="Q179" i="2"/>
  <c r="P179" i="2"/>
  <c r="O179" i="2"/>
  <c r="N179" i="2"/>
  <c r="M179" i="2"/>
  <c r="Q178" i="2"/>
  <c r="P178" i="2"/>
  <c r="O178" i="2"/>
  <c r="N178" i="2"/>
  <c r="M178" i="2"/>
  <c r="Q177" i="2"/>
  <c r="P177" i="2"/>
  <c r="O177" i="2"/>
  <c r="N177" i="2"/>
  <c r="M177" i="2"/>
  <c r="Q176" i="2"/>
  <c r="P176" i="2"/>
  <c r="O176" i="2"/>
  <c r="N176" i="2"/>
  <c r="M176" i="2"/>
  <c r="Q175" i="2"/>
  <c r="P175" i="2"/>
  <c r="O175" i="2"/>
  <c r="N175" i="2"/>
  <c r="M175" i="2"/>
  <c r="Q174" i="2"/>
  <c r="P174" i="2"/>
  <c r="O174" i="2"/>
  <c r="N174" i="2"/>
  <c r="M174" i="2"/>
  <c r="Q157" i="2"/>
  <c r="P157" i="2"/>
  <c r="O157" i="2"/>
  <c r="N157" i="2"/>
  <c r="M157" i="2"/>
  <c r="Q156" i="2"/>
  <c r="P156" i="2"/>
  <c r="O156" i="2"/>
  <c r="N156" i="2"/>
  <c r="M156" i="2"/>
  <c r="Q155" i="2"/>
  <c r="P155" i="2"/>
  <c r="O155" i="2"/>
  <c r="N155" i="2"/>
  <c r="M155" i="2"/>
  <c r="Q154" i="2"/>
  <c r="P154" i="2"/>
  <c r="O154" i="2"/>
  <c r="N154" i="2"/>
  <c r="M154" i="2"/>
  <c r="Q153" i="2"/>
  <c r="P153" i="2"/>
  <c r="O153" i="2"/>
  <c r="N153" i="2"/>
  <c r="M153" i="2"/>
  <c r="Q152" i="2"/>
  <c r="P152" i="2"/>
  <c r="O152" i="2"/>
  <c r="N152" i="2"/>
  <c r="M152" i="2"/>
  <c r="Q151" i="2"/>
  <c r="P151" i="2"/>
  <c r="O151" i="2"/>
  <c r="N151" i="2"/>
  <c r="M151" i="2"/>
  <c r="Q150" i="2"/>
  <c r="P150" i="2"/>
  <c r="O150" i="2"/>
  <c r="N150" i="2"/>
  <c r="M150" i="2"/>
  <c r="Q133" i="2"/>
  <c r="P133" i="2"/>
  <c r="O133" i="2"/>
  <c r="N133" i="2"/>
  <c r="M133" i="2"/>
  <c r="Q132" i="2"/>
  <c r="P132" i="2"/>
  <c r="O132" i="2"/>
  <c r="N132" i="2"/>
  <c r="M132" i="2"/>
  <c r="Q131" i="2"/>
  <c r="P131" i="2"/>
  <c r="O131" i="2"/>
  <c r="N131" i="2"/>
  <c r="M131" i="2"/>
  <c r="Q130" i="2"/>
  <c r="P130" i="2"/>
  <c r="O130" i="2"/>
  <c r="N130" i="2"/>
  <c r="M130" i="2"/>
  <c r="Q129" i="2"/>
  <c r="P129" i="2"/>
  <c r="O129" i="2"/>
  <c r="N129" i="2"/>
  <c r="M129" i="2"/>
  <c r="Q128" i="2"/>
  <c r="P128" i="2"/>
  <c r="O128" i="2"/>
  <c r="N128" i="2"/>
  <c r="M128" i="2"/>
  <c r="Q127" i="2"/>
  <c r="P127" i="2"/>
  <c r="O127" i="2"/>
  <c r="N127" i="2"/>
  <c r="M127" i="2"/>
  <c r="Q126" i="2"/>
  <c r="P126" i="2"/>
  <c r="O126" i="2"/>
  <c r="N126" i="2"/>
  <c r="M126" i="2"/>
  <c r="Q109" i="2"/>
  <c r="P109" i="2"/>
  <c r="O109" i="2"/>
  <c r="N109" i="2"/>
  <c r="M109" i="2"/>
  <c r="Q108" i="2"/>
  <c r="P108" i="2"/>
  <c r="O108" i="2"/>
  <c r="N108" i="2"/>
  <c r="M108" i="2"/>
  <c r="Q107" i="2"/>
  <c r="P107" i="2"/>
  <c r="O107" i="2"/>
  <c r="N107" i="2"/>
  <c r="M107" i="2"/>
  <c r="Q106" i="2"/>
  <c r="P106" i="2"/>
  <c r="O106" i="2"/>
  <c r="N106" i="2"/>
  <c r="M106" i="2"/>
  <c r="Q105" i="2"/>
  <c r="P105" i="2"/>
  <c r="O105" i="2"/>
  <c r="N105" i="2"/>
  <c r="M105" i="2"/>
  <c r="Q104" i="2"/>
  <c r="P104" i="2"/>
  <c r="O104" i="2"/>
  <c r="N104" i="2"/>
  <c r="M104" i="2"/>
  <c r="Q103" i="2"/>
  <c r="P103" i="2"/>
  <c r="O103" i="2"/>
  <c r="N103" i="2"/>
  <c r="M103" i="2"/>
  <c r="Q102" i="2"/>
  <c r="P102" i="2"/>
  <c r="O102" i="2"/>
  <c r="N102" i="2"/>
  <c r="M102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78" i="2"/>
  <c r="P78" i="2"/>
  <c r="O78" i="2"/>
  <c r="N78" i="2"/>
  <c r="M78" i="2"/>
  <c r="Q61" i="2"/>
  <c r="P61" i="2"/>
  <c r="O61" i="2"/>
  <c r="N61" i="2"/>
  <c r="M61" i="2"/>
  <c r="Q60" i="2"/>
  <c r="P60" i="2"/>
  <c r="O60" i="2"/>
  <c r="N60" i="2"/>
  <c r="M60" i="2"/>
  <c r="Q59" i="2"/>
  <c r="P59" i="2"/>
  <c r="O59" i="2"/>
  <c r="N59" i="2"/>
  <c r="M59" i="2"/>
  <c r="Q58" i="2"/>
  <c r="P58" i="2"/>
  <c r="O58" i="2"/>
  <c r="N58" i="2"/>
  <c r="M58" i="2"/>
  <c r="Q57" i="2"/>
  <c r="P57" i="2"/>
  <c r="O57" i="2"/>
  <c r="N57" i="2"/>
  <c r="M57" i="2"/>
  <c r="Q56" i="2"/>
  <c r="P56" i="2"/>
  <c r="O56" i="2"/>
  <c r="N56" i="2"/>
  <c r="M56" i="2"/>
  <c r="Q55" i="2"/>
  <c r="P55" i="2"/>
  <c r="O55" i="2"/>
  <c r="N55" i="2"/>
  <c r="M55" i="2"/>
  <c r="Q54" i="2"/>
  <c r="P54" i="2"/>
  <c r="O54" i="2"/>
  <c r="N54" i="2"/>
  <c r="M54" i="2"/>
  <c r="Q37" i="2"/>
  <c r="P37" i="2"/>
  <c r="O37" i="2"/>
  <c r="N37" i="2"/>
  <c r="M37" i="2"/>
  <c r="Q36" i="2"/>
  <c r="P36" i="2"/>
  <c r="O36" i="2"/>
  <c r="N36" i="2"/>
  <c r="M36" i="2"/>
  <c r="Q35" i="2"/>
  <c r="P35" i="2"/>
  <c r="O35" i="2"/>
  <c r="N35" i="2"/>
  <c r="M35" i="2"/>
  <c r="Q34" i="2"/>
  <c r="P34" i="2"/>
  <c r="O34" i="2"/>
  <c r="N34" i="2"/>
  <c r="M34" i="2"/>
  <c r="Q33" i="2"/>
  <c r="P33" i="2"/>
  <c r="O33" i="2"/>
  <c r="N33" i="2"/>
  <c r="M33" i="2"/>
  <c r="Q32" i="2"/>
  <c r="P32" i="2"/>
  <c r="O32" i="2"/>
  <c r="N32" i="2"/>
  <c r="M32" i="2"/>
  <c r="Q31" i="2"/>
  <c r="P31" i="2"/>
  <c r="O31" i="2"/>
  <c r="N31" i="2"/>
  <c r="M31" i="2"/>
  <c r="Q30" i="2"/>
  <c r="P30" i="2"/>
  <c r="O30" i="2"/>
  <c r="N30" i="2"/>
  <c r="M30" i="2"/>
  <c r="Q13" i="2"/>
  <c r="P13" i="2"/>
  <c r="O13" i="2"/>
  <c r="N13" i="2"/>
  <c r="M13" i="2"/>
  <c r="Q12" i="2"/>
  <c r="P12" i="2"/>
  <c r="O12" i="2"/>
  <c r="N12" i="2"/>
  <c r="M12" i="2"/>
  <c r="M7" i="2"/>
  <c r="N7" i="2"/>
  <c r="O7" i="2"/>
  <c r="P7" i="2"/>
  <c r="Q7" i="2"/>
  <c r="M8" i="2"/>
  <c r="N8" i="2"/>
  <c r="O8" i="2"/>
  <c r="P8" i="2"/>
  <c r="Q8" i="2"/>
  <c r="M9" i="2"/>
  <c r="N9" i="2"/>
  <c r="O9" i="2"/>
  <c r="P9" i="2"/>
  <c r="Q9" i="2"/>
  <c r="M10" i="2"/>
  <c r="N10" i="2"/>
  <c r="O10" i="2"/>
  <c r="P10" i="2"/>
  <c r="Q10" i="2"/>
  <c r="M11" i="2"/>
  <c r="N11" i="2"/>
  <c r="O11" i="2"/>
  <c r="P11" i="2"/>
  <c r="Q11" i="2"/>
  <c r="M14" i="2"/>
  <c r="N14" i="2"/>
  <c r="O14" i="2"/>
  <c r="P14" i="2"/>
  <c r="Q14" i="2"/>
  <c r="M15" i="2"/>
  <c r="N15" i="2"/>
  <c r="O15" i="2"/>
  <c r="P15" i="2"/>
  <c r="Q15" i="2"/>
  <c r="M607" i="2"/>
  <c r="N607" i="2"/>
  <c r="O607" i="2"/>
  <c r="P607" i="2"/>
  <c r="Q607" i="2"/>
  <c r="M588" i="2"/>
  <c r="N588" i="2"/>
  <c r="O588" i="2"/>
  <c r="P588" i="2"/>
  <c r="Q588" i="2"/>
  <c r="M569" i="2"/>
  <c r="N569" i="2"/>
  <c r="O569" i="2"/>
  <c r="P569" i="2"/>
  <c r="Q569" i="2"/>
  <c r="M550" i="2"/>
  <c r="N550" i="2"/>
  <c r="O550" i="2"/>
  <c r="P550" i="2"/>
  <c r="Q550" i="2"/>
  <c r="M530" i="2"/>
  <c r="N530" i="2"/>
  <c r="O530" i="2"/>
  <c r="P530" i="2"/>
  <c r="Q530" i="2"/>
  <c r="M509" i="2"/>
  <c r="N509" i="2"/>
  <c r="O509" i="2"/>
  <c r="P509" i="2"/>
  <c r="Q509" i="2"/>
  <c r="M488" i="2"/>
  <c r="N488" i="2"/>
  <c r="O488" i="2"/>
  <c r="P488" i="2"/>
  <c r="Q488" i="2"/>
  <c r="M466" i="2"/>
  <c r="N466" i="2"/>
  <c r="O466" i="2"/>
  <c r="P466" i="2"/>
  <c r="Q466" i="2"/>
  <c r="M444" i="2"/>
  <c r="N444" i="2"/>
  <c r="O444" i="2"/>
  <c r="P444" i="2"/>
  <c r="Q444" i="2"/>
  <c r="M422" i="2"/>
  <c r="N422" i="2"/>
  <c r="O422" i="2"/>
  <c r="P422" i="2"/>
  <c r="Q422" i="2"/>
  <c r="M401" i="2"/>
  <c r="N401" i="2"/>
  <c r="O401" i="2"/>
  <c r="P401" i="2"/>
  <c r="Q401" i="2"/>
  <c r="M380" i="2"/>
  <c r="N380" i="2"/>
  <c r="O380" i="2"/>
  <c r="P380" i="2"/>
  <c r="Q380" i="2"/>
  <c r="M683" i="2"/>
  <c r="N683" i="2"/>
  <c r="O683" i="2"/>
  <c r="P683" i="2"/>
  <c r="Q683" i="2"/>
  <c r="M664" i="2"/>
  <c r="N664" i="2"/>
  <c r="O664" i="2"/>
  <c r="P664" i="2"/>
  <c r="Q664" i="2"/>
  <c r="Q685" i="2"/>
  <c r="P685" i="2"/>
  <c r="O685" i="2"/>
  <c r="N685" i="2"/>
  <c r="M685" i="2"/>
  <c r="Q684" i="2"/>
  <c r="P684" i="2"/>
  <c r="O684" i="2"/>
  <c r="N684" i="2"/>
  <c r="M684" i="2"/>
  <c r="Q682" i="2"/>
  <c r="P682" i="2"/>
  <c r="O682" i="2"/>
  <c r="N682" i="2"/>
  <c r="M682" i="2"/>
  <c r="Q681" i="2"/>
  <c r="P681" i="2"/>
  <c r="O681" i="2"/>
  <c r="N681" i="2"/>
  <c r="M681" i="2"/>
  <c r="Q680" i="2"/>
  <c r="P680" i="2"/>
  <c r="O680" i="2"/>
  <c r="N680" i="2"/>
  <c r="M680" i="2"/>
  <c r="Q679" i="2"/>
  <c r="P679" i="2"/>
  <c r="O679" i="2"/>
  <c r="N679" i="2"/>
  <c r="M679" i="2"/>
  <c r="Q678" i="2"/>
  <c r="P678" i="2"/>
  <c r="O678" i="2"/>
  <c r="N678" i="2"/>
  <c r="M678" i="2"/>
  <c r="Q670" i="2"/>
  <c r="P670" i="2"/>
  <c r="O670" i="2"/>
  <c r="N670" i="2"/>
  <c r="M670" i="2"/>
  <c r="Q669" i="2"/>
  <c r="P669" i="2"/>
  <c r="O669" i="2"/>
  <c r="N669" i="2"/>
  <c r="M669" i="2"/>
  <c r="Q668" i="2"/>
  <c r="P668" i="2"/>
  <c r="O668" i="2"/>
  <c r="N668" i="2"/>
  <c r="M668" i="2"/>
  <c r="Q667" i="2"/>
  <c r="P667" i="2"/>
  <c r="O667" i="2"/>
  <c r="N667" i="2"/>
  <c r="M667" i="2"/>
  <c r="Q666" i="2"/>
  <c r="P666" i="2"/>
  <c r="O666" i="2"/>
  <c r="N666" i="2"/>
  <c r="M666" i="2"/>
  <c r="Q665" i="2"/>
  <c r="P665" i="2"/>
  <c r="O665" i="2"/>
  <c r="N665" i="2"/>
  <c r="M665" i="2"/>
  <c r="Q663" i="2"/>
  <c r="P663" i="2"/>
  <c r="O663" i="2"/>
  <c r="N663" i="2"/>
  <c r="M663" i="2"/>
  <c r="Q662" i="2"/>
  <c r="P662" i="2"/>
  <c r="O662" i="2"/>
  <c r="N662" i="2"/>
  <c r="M662" i="2"/>
  <c r="Q661" i="2"/>
  <c r="P661" i="2"/>
  <c r="O661" i="2"/>
  <c r="N661" i="2"/>
  <c r="M661" i="2"/>
  <c r="Q660" i="2"/>
  <c r="P660" i="2"/>
  <c r="O660" i="2"/>
  <c r="N660" i="2"/>
  <c r="M660" i="2"/>
  <c r="Q659" i="2"/>
  <c r="P659" i="2"/>
  <c r="O659" i="2"/>
  <c r="N659" i="2"/>
  <c r="M659" i="2"/>
  <c r="Q651" i="2"/>
  <c r="P651" i="2"/>
  <c r="O651" i="2"/>
  <c r="N651" i="2"/>
  <c r="M651" i="2"/>
  <c r="Q650" i="2"/>
  <c r="P650" i="2"/>
  <c r="O650" i="2"/>
  <c r="N650" i="2"/>
  <c r="M650" i="2"/>
  <c r="Q649" i="2"/>
  <c r="P649" i="2"/>
  <c r="O649" i="2"/>
  <c r="N649" i="2"/>
  <c r="M649" i="2"/>
  <c r="Q648" i="2"/>
  <c r="P648" i="2"/>
  <c r="O648" i="2"/>
  <c r="N648" i="2"/>
  <c r="M648" i="2"/>
  <c r="Q647" i="2"/>
  <c r="P647" i="2"/>
  <c r="O647" i="2"/>
  <c r="N647" i="2"/>
  <c r="M647" i="2"/>
  <c r="Q646" i="2"/>
  <c r="P646" i="2"/>
  <c r="O646" i="2"/>
  <c r="N646" i="2"/>
  <c r="M646" i="2"/>
  <c r="Q645" i="2"/>
  <c r="P645" i="2"/>
  <c r="O645" i="2"/>
  <c r="N645" i="2"/>
  <c r="M645" i="2"/>
  <c r="Q644" i="2"/>
  <c r="P644" i="2"/>
  <c r="O644" i="2"/>
  <c r="N644" i="2"/>
  <c r="M644" i="2"/>
  <c r="Q643" i="2"/>
  <c r="P643" i="2"/>
  <c r="O643" i="2"/>
  <c r="N643" i="2"/>
  <c r="M643" i="2"/>
  <c r="Q642" i="2"/>
  <c r="P642" i="2"/>
  <c r="O642" i="2"/>
  <c r="N642" i="2"/>
  <c r="M642" i="2"/>
  <c r="Q641" i="2"/>
  <c r="P641" i="2"/>
  <c r="O641" i="2"/>
  <c r="N641" i="2"/>
  <c r="M641" i="2"/>
  <c r="Q640" i="2"/>
  <c r="P640" i="2"/>
  <c r="O640" i="2"/>
  <c r="N640" i="2"/>
  <c r="M640" i="2"/>
  <c r="Q632" i="2"/>
  <c r="P632" i="2"/>
  <c r="O632" i="2"/>
  <c r="N632" i="2"/>
  <c r="M632" i="2"/>
  <c r="Q631" i="2"/>
  <c r="P631" i="2"/>
  <c r="O631" i="2"/>
  <c r="N631" i="2"/>
  <c r="M631" i="2"/>
  <c r="Q630" i="2"/>
  <c r="P630" i="2"/>
  <c r="O630" i="2"/>
  <c r="N630" i="2"/>
  <c r="M630" i="2"/>
  <c r="Q629" i="2"/>
  <c r="P629" i="2"/>
  <c r="O629" i="2"/>
  <c r="N629" i="2"/>
  <c r="M629" i="2"/>
  <c r="Q628" i="2"/>
  <c r="P628" i="2"/>
  <c r="O628" i="2"/>
  <c r="N628" i="2"/>
  <c r="M628" i="2"/>
  <c r="Q627" i="2"/>
  <c r="P627" i="2"/>
  <c r="O627" i="2"/>
  <c r="N627" i="2"/>
  <c r="M627" i="2"/>
  <c r="Q626" i="2"/>
  <c r="P626" i="2"/>
  <c r="O626" i="2"/>
  <c r="N626" i="2"/>
  <c r="M626" i="2"/>
  <c r="Q625" i="2"/>
  <c r="P625" i="2"/>
  <c r="O625" i="2"/>
  <c r="N625" i="2"/>
  <c r="M625" i="2"/>
  <c r="Q624" i="2"/>
  <c r="P624" i="2"/>
  <c r="O624" i="2"/>
  <c r="N624" i="2"/>
  <c r="M624" i="2"/>
  <c r="Q623" i="2"/>
  <c r="P623" i="2"/>
  <c r="O623" i="2"/>
  <c r="N623" i="2"/>
  <c r="M623" i="2"/>
  <c r="Q622" i="2"/>
  <c r="P622" i="2"/>
  <c r="O622" i="2"/>
  <c r="N622" i="2"/>
  <c r="M622" i="2"/>
  <c r="Q621" i="2"/>
  <c r="P621" i="2"/>
  <c r="O621" i="2"/>
  <c r="N621" i="2"/>
  <c r="M621" i="2"/>
  <c r="Q613" i="2"/>
  <c r="P613" i="2"/>
  <c r="O613" i="2"/>
  <c r="N613" i="2"/>
  <c r="M613" i="2"/>
  <c r="Q612" i="2"/>
  <c r="P612" i="2"/>
  <c r="O612" i="2"/>
  <c r="N612" i="2"/>
  <c r="M612" i="2"/>
  <c r="Q611" i="2"/>
  <c r="P611" i="2"/>
  <c r="O611" i="2"/>
  <c r="N611" i="2"/>
  <c r="M611" i="2"/>
  <c r="Q610" i="2"/>
  <c r="P610" i="2"/>
  <c r="O610" i="2"/>
  <c r="N610" i="2"/>
  <c r="M610" i="2"/>
  <c r="Q609" i="2"/>
  <c r="P609" i="2"/>
  <c r="O609" i="2"/>
  <c r="N609" i="2"/>
  <c r="M609" i="2"/>
  <c r="Q608" i="2"/>
  <c r="P608" i="2"/>
  <c r="O608" i="2"/>
  <c r="N608" i="2"/>
  <c r="M608" i="2"/>
  <c r="Q606" i="2"/>
  <c r="P606" i="2"/>
  <c r="O606" i="2"/>
  <c r="N606" i="2"/>
  <c r="M606" i="2"/>
  <c r="Q605" i="2"/>
  <c r="P605" i="2"/>
  <c r="O605" i="2"/>
  <c r="N605" i="2"/>
  <c r="M605" i="2"/>
  <c r="Q604" i="2"/>
  <c r="P604" i="2"/>
  <c r="O604" i="2"/>
  <c r="N604" i="2"/>
  <c r="M604" i="2"/>
  <c r="Q603" i="2"/>
  <c r="P603" i="2"/>
  <c r="O603" i="2"/>
  <c r="N603" i="2"/>
  <c r="M603" i="2"/>
  <c r="Q602" i="2"/>
  <c r="P602" i="2"/>
  <c r="O602" i="2"/>
  <c r="N602" i="2"/>
  <c r="M602" i="2"/>
  <c r="Q594" i="2"/>
  <c r="P594" i="2"/>
  <c r="O594" i="2"/>
  <c r="N594" i="2"/>
  <c r="M594" i="2"/>
  <c r="Q593" i="2"/>
  <c r="P593" i="2"/>
  <c r="O593" i="2"/>
  <c r="N593" i="2"/>
  <c r="M593" i="2"/>
  <c r="Q592" i="2"/>
  <c r="P592" i="2"/>
  <c r="O592" i="2"/>
  <c r="N592" i="2"/>
  <c r="M592" i="2"/>
  <c r="Q591" i="2"/>
  <c r="P591" i="2"/>
  <c r="O591" i="2"/>
  <c r="N591" i="2"/>
  <c r="M591" i="2"/>
  <c r="M572" i="2"/>
  <c r="N572" i="2"/>
  <c r="O572" i="2"/>
  <c r="P572" i="2"/>
  <c r="Q572" i="2"/>
  <c r="M573" i="2"/>
  <c r="N573" i="2"/>
  <c r="O573" i="2"/>
  <c r="P573" i="2"/>
  <c r="Q573" i="2"/>
  <c r="M574" i="2"/>
  <c r="N574" i="2"/>
  <c r="O574" i="2"/>
  <c r="P574" i="2"/>
  <c r="Q574" i="2"/>
  <c r="M575" i="2"/>
  <c r="N575" i="2"/>
  <c r="O575" i="2"/>
  <c r="P575" i="2"/>
  <c r="Q575" i="2"/>
  <c r="M583" i="2"/>
  <c r="N583" i="2"/>
  <c r="O583" i="2"/>
  <c r="P583" i="2"/>
  <c r="Q583" i="2"/>
  <c r="M584" i="2"/>
  <c r="N584" i="2"/>
  <c r="O584" i="2"/>
  <c r="P584" i="2"/>
  <c r="Q584" i="2"/>
  <c r="M585" i="2"/>
  <c r="N585" i="2"/>
  <c r="O585" i="2"/>
  <c r="P585" i="2"/>
  <c r="Q585" i="2"/>
  <c r="M586" i="2"/>
  <c r="N586" i="2"/>
  <c r="O586" i="2"/>
  <c r="P586" i="2"/>
  <c r="Q586" i="2"/>
  <c r="M587" i="2"/>
  <c r="N587" i="2"/>
  <c r="O587" i="2"/>
  <c r="P587" i="2"/>
  <c r="Q587" i="2"/>
  <c r="M589" i="2"/>
  <c r="N589" i="2"/>
  <c r="O589" i="2"/>
  <c r="P589" i="2"/>
  <c r="Q589" i="2"/>
  <c r="M590" i="2"/>
  <c r="N590" i="2"/>
  <c r="O590" i="2"/>
  <c r="P590" i="2"/>
  <c r="Q590" i="2"/>
  <c r="Q571" i="2"/>
  <c r="P571" i="2"/>
  <c r="O571" i="2"/>
  <c r="N571" i="2"/>
  <c r="M571" i="2"/>
  <c r="Q570" i="2"/>
  <c r="P570" i="2"/>
  <c r="O570" i="2"/>
  <c r="N570" i="2"/>
  <c r="M570" i="2"/>
  <c r="Q568" i="2"/>
  <c r="P568" i="2"/>
  <c r="O568" i="2"/>
  <c r="N568" i="2"/>
  <c r="M568" i="2"/>
  <c r="Q567" i="2"/>
  <c r="P567" i="2"/>
  <c r="O567" i="2"/>
  <c r="N567" i="2"/>
  <c r="M567" i="2"/>
  <c r="Q566" i="2"/>
  <c r="P566" i="2"/>
  <c r="O566" i="2"/>
  <c r="N566" i="2"/>
  <c r="M566" i="2"/>
  <c r="Q565" i="2"/>
  <c r="P565" i="2"/>
  <c r="O565" i="2"/>
  <c r="N565" i="2"/>
  <c r="M565" i="2"/>
  <c r="Q564" i="2"/>
  <c r="P564" i="2"/>
  <c r="O564" i="2"/>
  <c r="N564" i="2"/>
  <c r="M564" i="2"/>
  <c r="Q556" i="2"/>
  <c r="P556" i="2"/>
  <c r="O556" i="2"/>
  <c r="N556" i="2"/>
  <c r="M556" i="2"/>
  <c r="Q555" i="2"/>
  <c r="P555" i="2"/>
  <c r="O555" i="2"/>
  <c r="N555" i="2"/>
  <c r="M555" i="2"/>
  <c r="Q554" i="2"/>
  <c r="P554" i="2"/>
  <c r="O554" i="2"/>
  <c r="N554" i="2"/>
  <c r="M554" i="2"/>
  <c r="Q553" i="2"/>
  <c r="P553" i="2"/>
  <c r="O553" i="2"/>
  <c r="N553" i="2"/>
  <c r="M553" i="2"/>
  <c r="Q552" i="2"/>
  <c r="P552" i="2"/>
  <c r="O552" i="2"/>
  <c r="N552" i="2"/>
  <c r="M552" i="2"/>
  <c r="Q551" i="2"/>
  <c r="P551" i="2"/>
  <c r="O551" i="2"/>
  <c r="N551" i="2"/>
  <c r="M551" i="2"/>
  <c r="Q549" i="2"/>
  <c r="P549" i="2"/>
  <c r="O549" i="2"/>
  <c r="N549" i="2"/>
  <c r="M549" i="2"/>
  <c r="Q548" i="2"/>
  <c r="P548" i="2"/>
  <c r="O548" i="2"/>
  <c r="N548" i="2"/>
  <c r="M548" i="2"/>
  <c r="Q547" i="2"/>
  <c r="P547" i="2"/>
  <c r="O547" i="2"/>
  <c r="N547" i="2"/>
  <c r="M547" i="2"/>
  <c r="Q546" i="2"/>
  <c r="P546" i="2"/>
  <c r="O546" i="2"/>
  <c r="N546" i="2"/>
  <c r="M546" i="2"/>
  <c r="Q545" i="2"/>
  <c r="P545" i="2"/>
  <c r="O545" i="2"/>
  <c r="N545" i="2"/>
  <c r="M545" i="2"/>
  <c r="Q537" i="2"/>
  <c r="P537" i="2"/>
  <c r="O537" i="2"/>
  <c r="N537" i="2"/>
  <c r="M537" i="2"/>
  <c r="Q536" i="2"/>
  <c r="P536" i="2"/>
  <c r="O536" i="2"/>
  <c r="N536" i="2"/>
  <c r="M536" i="2"/>
  <c r="Q535" i="2"/>
  <c r="P535" i="2"/>
  <c r="O535" i="2"/>
  <c r="N535" i="2"/>
  <c r="M535" i="2"/>
  <c r="Q534" i="2"/>
  <c r="P534" i="2"/>
  <c r="O534" i="2"/>
  <c r="N534" i="2"/>
  <c r="M534" i="2"/>
  <c r="Q533" i="2"/>
  <c r="P533" i="2"/>
  <c r="O533" i="2"/>
  <c r="N533" i="2"/>
  <c r="M533" i="2"/>
  <c r="Q532" i="2"/>
  <c r="P532" i="2"/>
  <c r="O532" i="2"/>
  <c r="N532" i="2"/>
  <c r="M532" i="2"/>
  <c r="Q531" i="2"/>
  <c r="P531" i="2"/>
  <c r="O531" i="2"/>
  <c r="N531" i="2"/>
  <c r="M531" i="2"/>
  <c r="Q529" i="2"/>
  <c r="P529" i="2"/>
  <c r="O529" i="2"/>
  <c r="N529" i="2"/>
  <c r="M529" i="2"/>
  <c r="Q528" i="2"/>
  <c r="P528" i="2"/>
  <c r="O528" i="2"/>
  <c r="N528" i="2"/>
  <c r="M528" i="2"/>
  <c r="Q527" i="2"/>
  <c r="P527" i="2"/>
  <c r="O527" i="2"/>
  <c r="N527" i="2"/>
  <c r="M527" i="2"/>
  <c r="Q526" i="2"/>
  <c r="P526" i="2"/>
  <c r="O526" i="2"/>
  <c r="N526" i="2"/>
  <c r="M526" i="2"/>
  <c r="Q525" i="2"/>
  <c r="P525" i="2"/>
  <c r="O525" i="2"/>
  <c r="N525" i="2"/>
  <c r="M525" i="2"/>
  <c r="Q524" i="2"/>
  <c r="P524" i="2"/>
  <c r="O524" i="2"/>
  <c r="N524" i="2"/>
  <c r="M524" i="2"/>
  <c r="Q516" i="2"/>
  <c r="P516" i="2"/>
  <c r="O516" i="2"/>
  <c r="N516" i="2"/>
  <c r="M516" i="2"/>
  <c r="Q515" i="2"/>
  <c r="P515" i="2"/>
  <c r="O515" i="2"/>
  <c r="N515" i="2"/>
  <c r="M515" i="2"/>
  <c r="Q514" i="2"/>
  <c r="P514" i="2"/>
  <c r="O514" i="2"/>
  <c r="N514" i="2"/>
  <c r="M514" i="2"/>
  <c r="Q513" i="2"/>
  <c r="P513" i="2"/>
  <c r="O513" i="2"/>
  <c r="N513" i="2"/>
  <c r="M513" i="2"/>
  <c r="Q512" i="2"/>
  <c r="P512" i="2"/>
  <c r="O512" i="2"/>
  <c r="N512" i="2"/>
  <c r="M512" i="2"/>
  <c r="Q511" i="2"/>
  <c r="P511" i="2"/>
  <c r="O511" i="2"/>
  <c r="N511" i="2"/>
  <c r="M511" i="2"/>
  <c r="Q510" i="2"/>
  <c r="P510" i="2"/>
  <c r="O510" i="2"/>
  <c r="N510" i="2"/>
  <c r="M510" i="2"/>
  <c r="Q508" i="2"/>
  <c r="P508" i="2"/>
  <c r="O508" i="2"/>
  <c r="N508" i="2"/>
  <c r="M508" i="2"/>
  <c r="Q507" i="2"/>
  <c r="P507" i="2"/>
  <c r="O507" i="2"/>
  <c r="N507" i="2"/>
  <c r="M507" i="2"/>
  <c r="Q506" i="2"/>
  <c r="P506" i="2"/>
  <c r="O506" i="2"/>
  <c r="N506" i="2"/>
  <c r="M506" i="2"/>
  <c r="Q505" i="2"/>
  <c r="P505" i="2"/>
  <c r="O505" i="2"/>
  <c r="N505" i="2"/>
  <c r="M505" i="2"/>
  <c r="Q504" i="2"/>
  <c r="P504" i="2"/>
  <c r="O504" i="2"/>
  <c r="N504" i="2"/>
  <c r="M504" i="2"/>
  <c r="Q503" i="2"/>
  <c r="P503" i="2"/>
  <c r="O503" i="2"/>
  <c r="N503" i="2"/>
  <c r="M503" i="2"/>
  <c r="Q495" i="2"/>
  <c r="P495" i="2"/>
  <c r="O495" i="2"/>
  <c r="N495" i="2"/>
  <c r="M495" i="2"/>
  <c r="Q494" i="2"/>
  <c r="P494" i="2"/>
  <c r="O494" i="2"/>
  <c r="N494" i="2"/>
  <c r="M494" i="2"/>
  <c r="Q493" i="2"/>
  <c r="P493" i="2"/>
  <c r="O493" i="2"/>
  <c r="N493" i="2"/>
  <c r="M493" i="2"/>
  <c r="Q492" i="2"/>
  <c r="P492" i="2"/>
  <c r="O492" i="2"/>
  <c r="N492" i="2"/>
  <c r="M492" i="2"/>
  <c r="Q491" i="2"/>
  <c r="P491" i="2"/>
  <c r="O491" i="2"/>
  <c r="N491" i="2"/>
  <c r="M491" i="2"/>
  <c r="Q490" i="2"/>
  <c r="P490" i="2"/>
  <c r="O490" i="2"/>
  <c r="N490" i="2"/>
  <c r="M490" i="2"/>
  <c r="Q489" i="2"/>
  <c r="P489" i="2"/>
  <c r="O489" i="2"/>
  <c r="N489" i="2"/>
  <c r="M489" i="2"/>
  <c r="Q487" i="2"/>
  <c r="P487" i="2"/>
  <c r="O487" i="2"/>
  <c r="N487" i="2"/>
  <c r="M487" i="2"/>
  <c r="Q486" i="2"/>
  <c r="P486" i="2"/>
  <c r="O486" i="2"/>
  <c r="N486" i="2"/>
  <c r="M486" i="2"/>
  <c r="Q485" i="2"/>
  <c r="P485" i="2"/>
  <c r="O485" i="2"/>
  <c r="N485" i="2"/>
  <c r="M485" i="2"/>
  <c r="Q484" i="2"/>
  <c r="P484" i="2"/>
  <c r="O484" i="2"/>
  <c r="N484" i="2"/>
  <c r="M484" i="2"/>
  <c r="Q483" i="2"/>
  <c r="P483" i="2"/>
  <c r="O483" i="2"/>
  <c r="N483" i="2"/>
  <c r="M483" i="2"/>
  <c r="Q482" i="2"/>
  <c r="P482" i="2"/>
  <c r="O482" i="2"/>
  <c r="N482" i="2"/>
  <c r="M482" i="2"/>
  <c r="Q481" i="2"/>
  <c r="P481" i="2"/>
  <c r="O481" i="2"/>
  <c r="N481" i="2"/>
  <c r="M481" i="2"/>
  <c r="Q473" i="2"/>
  <c r="P473" i="2"/>
  <c r="O473" i="2"/>
  <c r="N473" i="2"/>
  <c r="M473" i="2"/>
  <c r="Q472" i="2"/>
  <c r="P472" i="2"/>
  <c r="O472" i="2"/>
  <c r="N472" i="2"/>
  <c r="M472" i="2"/>
  <c r="Q471" i="2"/>
  <c r="P471" i="2"/>
  <c r="O471" i="2"/>
  <c r="N471" i="2"/>
  <c r="M471" i="2"/>
  <c r="Q470" i="2"/>
  <c r="P470" i="2"/>
  <c r="O470" i="2"/>
  <c r="N470" i="2"/>
  <c r="M470" i="2"/>
  <c r="Q469" i="2"/>
  <c r="P469" i="2"/>
  <c r="O469" i="2"/>
  <c r="N469" i="2"/>
  <c r="M469" i="2"/>
  <c r="Q468" i="2"/>
  <c r="P468" i="2"/>
  <c r="O468" i="2"/>
  <c r="N468" i="2"/>
  <c r="M468" i="2"/>
  <c r="Q467" i="2"/>
  <c r="P467" i="2"/>
  <c r="O467" i="2"/>
  <c r="N467" i="2"/>
  <c r="M467" i="2"/>
  <c r="Q465" i="2"/>
  <c r="P465" i="2"/>
  <c r="O465" i="2"/>
  <c r="N465" i="2"/>
  <c r="M465" i="2"/>
  <c r="Q464" i="2"/>
  <c r="P464" i="2"/>
  <c r="O464" i="2"/>
  <c r="N464" i="2"/>
  <c r="M464" i="2"/>
  <c r="Q463" i="2"/>
  <c r="P463" i="2"/>
  <c r="O463" i="2"/>
  <c r="N463" i="2"/>
  <c r="M463" i="2"/>
  <c r="Q462" i="2"/>
  <c r="P462" i="2"/>
  <c r="O462" i="2"/>
  <c r="N462" i="2"/>
  <c r="M462" i="2"/>
  <c r="Q461" i="2"/>
  <c r="P461" i="2"/>
  <c r="O461" i="2"/>
  <c r="N461" i="2"/>
  <c r="M461" i="2"/>
  <c r="Q460" i="2"/>
  <c r="P460" i="2"/>
  <c r="O460" i="2"/>
  <c r="N460" i="2"/>
  <c r="M460" i="2"/>
  <c r="Q459" i="2"/>
  <c r="P459" i="2"/>
  <c r="O459" i="2"/>
  <c r="N459" i="2"/>
  <c r="M459" i="2"/>
  <c r="Q451" i="2"/>
  <c r="P451" i="2"/>
  <c r="O451" i="2"/>
  <c r="N451" i="2"/>
  <c r="M451" i="2"/>
  <c r="Q450" i="2"/>
  <c r="P450" i="2"/>
  <c r="O450" i="2"/>
  <c r="N450" i="2"/>
  <c r="M450" i="2"/>
  <c r="Q449" i="2"/>
  <c r="P449" i="2"/>
  <c r="O449" i="2"/>
  <c r="N449" i="2"/>
  <c r="M449" i="2"/>
  <c r="Q448" i="2"/>
  <c r="P448" i="2"/>
  <c r="O448" i="2"/>
  <c r="N448" i="2"/>
  <c r="M448" i="2"/>
  <c r="Q447" i="2"/>
  <c r="P447" i="2"/>
  <c r="O447" i="2"/>
  <c r="N447" i="2"/>
  <c r="M447" i="2"/>
  <c r="Q446" i="2"/>
  <c r="P446" i="2"/>
  <c r="O446" i="2"/>
  <c r="N446" i="2"/>
  <c r="M446" i="2"/>
  <c r="Q445" i="2"/>
  <c r="P445" i="2"/>
  <c r="O445" i="2"/>
  <c r="N445" i="2"/>
  <c r="M445" i="2"/>
  <c r="Q443" i="2"/>
  <c r="P443" i="2"/>
  <c r="O443" i="2"/>
  <c r="N443" i="2"/>
  <c r="M443" i="2"/>
  <c r="Q442" i="2"/>
  <c r="P442" i="2"/>
  <c r="O442" i="2"/>
  <c r="N442" i="2"/>
  <c r="M442" i="2"/>
  <c r="Q441" i="2"/>
  <c r="P441" i="2"/>
  <c r="O441" i="2"/>
  <c r="N441" i="2"/>
  <c r="M441" i="2"/>
  <c r="Q440" i="2"/>
  <c r="P440" i="2"/>
  <c r="O440" i="2"/>
  <c r="N440" i="2"/>
  <c r="M440" i="2"/>
  <c r="Q439" i="2"/>
  <c r="P439" i="2"/>
  <c r="O439" i="2"/>
  <c r="N439" i="2"/>
  <c r="M439" i="2"/>
  <c r="Q438" i="2"/>
  <c r="P438" i="2"/>
  <c r="O438" i="2"/>
  <c r="N438" i="2"/>
  <c r="M438" i="2"/>
  <c r="Q437" i="2"/>
  <c r="P437" i="2"/>
  <c r="O437" i="2"/>
  <c r="N437" i="2"/>
  <c r="M437" i="2"/>
  <c r="Q429" i="2"/>
  <c r="P429" i="2"/>
  <c r="O429" i="2"/>
  <c r="N429" i="2"/>
  <c r="M429" i="2"/>
  <c r="Q428" i="2"/>
  <c r="P428" i="2"/>
  <c r="O428" i="2"/>
  <c r="N428" i="2"/>
  <c r="M428" i="2"/>
  <c r="Q427" i="2"/>
  <c r="P427" i="2"/>
  <c r="O427" i="2"/>
  <c r="N427" i="2"/>
  <c r="M427" i="2"/>
  <c r="Q426" i="2"/>
  <c r="P426" i="2"/>
  <c r="O426" i="2"/>
  <c r="N426" i="2"/>
  <c r="M426" i="2"/>
  <c r="Q425" i="2"/>
  <c r="P425" i="2"/>
  <c r="O425" i="2"/>
  <c r="N425" i="2"/>
  <c r="M425" i="2"/>
  <c r="Q424" i="2"/>
  <c r="P424" i="2"/>
  <c r="O424" i="2"/>
  <c r="N424" i="2"/>
  <c r="M424" i="2"/>
  <c r="Q423" i="2"/>
  <c r="P423" i="2"/>
  <c r="O423" i="2"/>
  <c r="N423" i="2"/>
  <c r="M423" i="2"/>
  <c r="Q421" i="2"/>
  <c r="P421" i="2"/>
  <c r="O421" i="2"/>
  <c r="N421" i="2"/>
  <c r="M421" i="2"/>
  <c r="Q420" i="2"/>
  <c r="P420" i="2"/>
  <c r="O420" i="2"/>
  <c r="N420" i="2"/>
  <c r="M420" i="2"/>
  <c r="Q419" i="2"/>
  <c r="P419" i="2"/>
  <c r="O419" i="2"/>
  <c r="N419" i="2"/>
  <c r="M419" i="2"/>
  <c r="Q418" i="2"/>
  <c r="P418" i="2"/>
  <c r="O418" i="2"/>
  <c r="N418" i="2"/>
  <c r="M418" i="2"/>
  <c r="Q417" i="2"/>
  <c r="P417" i="2"/>
  <c r="O417" i="2"/>
  <c r="N417" i="2"/>
  <c r="M417" i="2"/>
  <c r="Q416" i="2"/>
  <c r="P416" i="2"/>
  <c r="O416" i="2"/>
  <c r="N416" i="2"/>
  <c r="M416" i="2"/>
  <c r="Q408" i="2"/>
  <c r="P408" i="2"/>
  <c r="O408" i="2"/>
  <c r="N408" i="2"/>
  <c r="M408" i="2"/>
  <c r="Q407" i="2"/>
  <c r="P407" i="2"/>
  <c r="O407" i="2"/>
  <c r="N407" i="2"/>
  <c r="M407" i="2"/>
  <c r="Q406" i="2"/>
  <c r="P406" i="2"/>
  <c r="O406" i="2"/>
  <c r="N406" i="2"/>
  <c r="M406" i="2"/>
  <c r="Q405" i="2"/>
  <c r="P405" i="2"/>
  <c r="O405" i="2"/>
  <c r="N405" i="2"/>
  <c r="M405" i="2"/>
  <c r="Q404" i="2"/>
  <c r="P404" i="2"/>
  <c r="O404" i="2"/>
  <c r="N404" i="2"/>
  <c r="M404" i="2"/>
  <c r="Q403" i="2"/>
  <c r="P403" i="2"/>
  <c r="O403" i="2"/>
  <c r="N403" i="2"/>
  <c r="M403" i="2"/>
  <c r="Q402" i="2"/>
  <c r="P402" i="2"/>
  <c r="O402" i="2"/>
  <c r="N402" i="2"/>
  <c r="M402" i="2"/>
  <c r="Q400" i="2"/>
  <c r="P400" i="2"/>
  <c r="O400" i="2"/>
  <c r="N400" i="2"/>
  <c r="M400" i="2"/>
  <c r="Q399" i="2"/>
  <c r="P399" i="2"/>
  <c r="O399" i="2"/>
  <c r="N399" i="2"/>
  <c r="M399" i="2"/>
  <c r="Q398" i="2"/>
  <c r="P398" i="2"/>
  <c r="O398" i="2"/>
  <c r="N398" i="2"/>
  <c r="M398" i="2"/>
  <c r="Q397" i="2"/>
  <c r="P397" i="2"/>
  <c r="O397" i="2"/>
  <c r="N397" i="2"/>
  <c r="M397" i="2"/>
  <c r="Q396" i="2"/>
  <c r="P396" i="2"/>
  <c r="O396" i="2"/>
  <c r="N396" i="2"/>
  <c r="M396" i="2"/>
  <c r="Q395" i="2"/>
  <c r="P395" i="2"/>
  <c r="O395" i="2"/>
  <c r="N395" i="2"/>
  <c r="M395" i="2"/>
  <c r="Q387" i="2"/>
  <c r="P387" i="2"/>
  <c r="O387" i="2"/>
  <c r="N387" i="2"/>
  <c r="M387" i="2"/>
  <c r="Q386" i="2"/>
  <c r="P386" i="2"/>
  <c r="O386" i="2"/>
  <c r="N386" i="2"/>
  <c r="M386" i="2"/>
  <c r="Q385" i="2"/>
  <c r="P385" i="2"/>
  <c r="O385" i="2"/>
  <c r="N385" i="2"/>
  <c r="M385" i="2"/>
  <c r="Q384" i="2"/>
  <c r="P384" i="2"/>
  <c r="O384" i="2"/>
  <c r="N384" i="2"/>
  <c r="M384" i="2"/>
  <c r="Q383" i="2"/>
  <c r="P383" i="2"/>
  <c r="O383" i="2"/>
  <c r="N383" i="2"/>
  <c r="M383" i="2"/>
  <c r="Q382" i="2"/>
  <c r="P382" i="2"/>
  <c r="O382" i="2"/>
  <c r="N382" i="2"/>
  <c r="M382" i="2"/>
  <c r="Q381" i="2"/>
  <c r="P381" i="2"/>
  <c r="O381" i="2"/>
  <c r="N381" i="2"/>
  <c r="M381" i="2"/>
  <c r="Q379" i="2"/>
  <c r="P379" i="2"/>
  <c r="O379" i="2"/>
  <c r="N379" i="2"/>
  <c r="M379" i="2"/>
  <c r="Q378" i="2"/>
  <c r="P378" i="2"/>
  <c r="O378" i="2"/>
  <c r="N378" i="2"/>
  <c r="M378" i="2"/>
  <c r="Q377" i="2"/>
  <c r="P377" i="2"/>
  <c r="O377" i="2"/>
  <c r="N377" i="2"/>
  <c r="M377" i="2"/>
  <c r="Q376" i="2"/>
  <c r="P376" i="2"/>
  <c r="O376" i="2"/>
  <c r="N376" i="2"/>
  <c r="M376" i="2"/>
  <c r="Q375" i="2"/>
  <c r="P375" i="2"/>
  <c r="O375" i="2"/>
  <c r="N375" i="2"/>
  <c r="M375" i="2"/>
  <c r="Q374" i="2"/>
  <c r="P374" i="2"/>
  <c r="O374" i="2"/>
  <c r="N374" i="2"/>
  <c r="M374" i="2"/>
  <c r="Q365" i="2"/>
  <c r="P365" i="2"/>
  <c r="O365" i="2"/>
  <c r="N365" i="2"/>
  <c r="M365" i="2"/>
  <c r="Q364" i="2"/>
  <c r="P364" i="2"/>
  <c r="O364" i="2"/>
  <c r="N364" i="2"/>
  <c r="M364" i="2"/>
  <c r="Q363" i="2"/>
  <c r="P363" i="2"/>
  <c r="O363" i="2"/>
  <c r="N363" i="2"/>
  <c r="M363" i="2"/>
  <c r="Q362" i="2"/>
  <c r="P362" i="2"/>
  <c r="O362" i="2"/>
  <c r="N362" i="2"/>
  <c r="M362" i="2"/>
  <c r="Q361" i="2"/>
  <c r="P361" i="2"/>
  <c r="O361" i="2"/>
  <c r="N361" i="2"/>
  <c r="M361" i="2"/>
  <c r="Q360" i="2"/>
  <c r="P360" i="2"/>
  <c r="O360" i="2"/>
  <c r="N360" i="2"/>
  <c r="M360" i="2"/>
  <c r="Q359" i="2"/>
  <c r="P359" i="2"/>
  <c r="O359" i="2"/>
  <c r="N359" i="2"/>
  <c r="M359" i="2"/>
  <c r="Q358" i="2"/>
  <c r="P358" i="2"/>
  <c r="O358" i="2"/>
  <c r="N358" i="2"/>
  <c r="M358" i="2"/>
  <c r="Q357" i="2"/>
  <c r="P357" i="2"/>
  <c r="O357" i="2"/>
  <c r="N357" i="2"/>
  <c r="M357" i="2"/>
  <c r="Q356" i="2"/>
  <c r="P356" i="2"/>
  <c r="O356" i="2"/>
  <c r="N356" i="2"/>
  <c r="M356" i="2"/>
  <c r="Q355" i="2"/>
  <c r="P355" i="2"/>
  <c r="O355" i="2"/>
  <c r="N355" i="2"/>
  <c r="M355" i="2"/>
  <c r="Q354" i="2"/>
  <c r="P354" i="2"/>
  <c r="O354" i="2"/>
  <c r="N354" i="2"/>
  <c r="M354" i="2"/>
  <c r="Q353" i="2"/>
  <c r="P353" i="2"/>
  <c r="O353" i="2"/>
  <c r="N353" i="2"/>
  <c r="M353" i="2"/>
  <c r="Q352" i="2"/>
  <c r="P352" i="2"/>
  <c r="O352" i="2"/>
  <c r="N352" i="2"/>
  <c r="M352" i="2"/>
  <c r="Q351" i="2"/>
  <c r="P351" i="2"/>
  <c r="O351" i="2"/>
  <c r="N351" i="2"/>
  <c r="M351" i="2"/>
  <c r="Q350" i="2"/>
  <c r="P350" i="2"/>
  <c r="O350" i="2"/>
  <c r="N350" i="2"/>
  <c r="M350" i="2"/>
  <c r="Q341" i="2"/>
  <c r="P341" i="2"/>
  <c r="O341" i="2"/>
  <c r="N341" i="2"/>
  <c r="M341" i="2"/>
  <c r="Q340" i="2"/>
  <c r="P340" i="2"/>
  <c r="O340" i="2"/>
  <c r="N340" i="2"/>
  <c r="M340" i="2"/>
  <c r="Q339" i="2"/>
  <c r="P339" i="2"/>
  <c r="O339" i="2"/>
  <c r="N339" i="2"/>
  <c r="M339" i="2"/>
  <c r="Q338" i="2"/>
  <c r="P338" i="2"/>
  <c r="O338" i="2"/>
  <c r="N338" i="2"/>
  <c r="M338" i="2"/>
  <c r="Q337" i="2"/>
  <c r="P337" i="2"/>
  <c r="O337" i="2"/>
  <c r="N337" i="2"/>
  <c r="M337" i="2"/>
  <c r="Q336" i="2"/>
  <c r="P336" i="2"/>
  <c r="O336" i="2"/>
  <c r="N336" i="2"/>
  <c r="M336" i="2"/>
  <c r="Q335" i="2"/>
  <c r="P335" i="2"/>
  <c r="O335" i="2"/>
  <c r="N335" i="2"/>
  <c r="M335" i="2"/>
  <c r="Q334" i="2"/>
  <c r="P334" i="2"/>
  <c r="O334" i="2"/>
  <c r="N334" i="2"/>
  <c r="M334" i="2"/>
  <c r="Q333" i="2"/>
  <c r="P333" i="2"/>
  <c r="O333" i="2"/>
  <c r="N333" i="2"/>
  <c r="M333" i="2"/>
  <c r="Q332" i="2"/>
  <c r="P332" i="2"/>
  <c r="O332" i="2"/>
  <c r="N332" i="2"/>
  <c r="M332" i="2"/>
  <c r="Q331" i="2"/>
  <c r="P331" i="2"/>
  <c r="O331" i="2"/>
  <c r="N331" i="2"/>
  <c r="M331" i="2"/>
  <c r="Q330" i="2"/>
  <c r="P330" i="2"/>
  <c r="O330" i="2"/>
  <c r="N330" i="2"/>
  <c r="M330" i="2"/>
  <c r="Q329" i="2"/>
  <c r="P329" i="2"/>
  <c r="O329" i="2"/>
  <c r="N329" i="2"/>
  <c r="M329" i="2"/>
  <c r="Q328" i="2"/>
  <c r="P328" i="2"/>
  <c r="O328" i="2"/>
  <c r="N328" i="2"/>
  <c r="M328" i="2"/>
  <c r="Q327" i="2"/>
  <c r="P327" i="2"/>
  <c r="O327" i="2"/>
  <c r="N327" i="2"/>
  <c r="M327" i="2"/>
  <c r="Q326" i="2"/>
  <c r="P326" i="2"/>
  <c r="O326" i="2"/>
  <c r="N326" i="2"/>
  <c r="M326" i="2"/>
  <c r="Q317" i="2"/>
  <c r="P317" i="2"/>
  <c r="O317" i="2"/>
  <c r="N317" i="2"/>
  <c r="M317" i="2"/>
  <c r="Q316" i="2"/>
  <c r="P316" i="2"/>
  <c r="O316" i="2"/>
  <c r="N316" i="2"/>
  <c r="M316" i="2"/>
  <c r="Q315" i="2"/>
  <c r="P315" i="2"/>
  <c r="O315" i="2"/>
  <c r="N315" i="2"/>
  <c r="M315" i="2"/>
  <c r="Q314" i="2"/>
  <c r="P314" i="2"/>
  <c r="O314" i="2"/>
  <c r="N314" i="2"/>
  <c r="M314" i="2"/>
  <c r="Q313" i="2"/>
  <c r="P313" i="2"/>
  <c r="O313" i="2"/>
  <c r="N313" i="2"/>
  <c r="M313" i="2"/>
  <c r="Q312" i="2"/>
  <c r="P312" i="2"/>
  <c r="O312" i="2"/>
  <c r="N312" i="2"/>
  <c r="M312" i="2"/>
  <c r="Q311" i="2"/>
  <c r="P311" i="2"/>
  <c r="O311" i="2"/>
  <c r="N311" i="2"/>
  <c r="M311" i="2"/>
  <c r="Q310" i="2"/>
  <c r="P310" i="2"/>
  <c r="O310" i="2"/>
  <c r="N310" i="2"/>
  <c r="M310" i="2"/>
  <c r="Q309" i="2"/>
  <c r="P309" i="2"/>
  <c r="O309" i="2"/>
  <c r="N309" i="2"/>
  <c r="M309" i="2"/>
  <c r="Q308" i="2"/>
  <c r="P308" i="2"/>
  <c r="O308" i="2"/>
  <c r="N308" i="2"/>
  <c r="M308" i="2"/>
  <c r="Q307" i="2"/>
  <c r="P307" i="2"/>
  <c r="O307" i="2"/>
  <c r="N307" i="2"/>
  <c r="M307" i="2"/>
  <c r="Q306" i="2"/>
  <c r="P306" i="2"/>
  <c r="O306" i="2"/>
  <c r="N306" i="2"/>
  <c r="M306" i="2"/>
  <c r="Q305" i="2"/>
  <c r="P305" i="2"/>
  <c r="O305" i="2"/>
  <c r="N305" i="2"/>
  <c r="M305" i="2"/>
  <c r="Q304" i="2"/>
  <c r="P304" i="2"/>
  <c r="O304" i="2"/>
  <c r="N304" i="2"/>
  <c r="M304" i="2"/>
  <c r="Q303" i="2"/>
  <c r="P303" i="2"/>
  <c r="O303" i="2"/>
  <c r="N303" i="2"/>
  <c r="M303" i="2"/>
  <c r="Q302" i="2"/>
  <c r="P302" i="2"/>
  <c r="O302" i="2"/>
  <c r="N302" i="2"/>
  <c r="M302" i="2"/>
  <c r="Q293" i="2"/>
  <c r="P293" i="2"/>
  <c r="O293" i="2"/>
  <c r="N293" i="2"/>
  <c r="M293" i="2"/>
  <c r="Q292" i="2"/>
  <c r="P292" i="2"/>
  <c r="O292" i="2"/>
  <c r="N292" i="2"/>
  <c r="M292" i="2"/>
  <c r="Q291" i="2"/>
  <c r="P291" i="2"/>
  <c r="O291" i="2"/>
  <c r="N291" i="2"/>
  <c r="M291" i="2"/>
  <c r="Q290" i="2"/>
  <c r="P290" i="2"/>
  <c r="O290" i="2"/>
  <c r="N290" i="2"/>
  <c r="M290" i="2"/>
  <c r="Q289" i="2"/>
  <c r="P289" i="2"/>
  <c r="O289" i="2"/>
  <c r="N289" i="2"/>
  <c r="M289" i="2"/>
  <c r="Q288" i="2"/>
  <c r="P288" i="2"/>
  <c r="O288" i="2"/>
  <c r="N288" i="2"/>
  <c r="M288" i="2"/>
  <c r="Q287" i="2"/>
  <c r="P287" i="2"/>
  <c r="O287" i="2"/>
  <c r="N287" i="2"/>
  <c r="M287" i="2"/>
  <c r="Q286" i="2"/>
  <c r="P286" i="2"/>
  <c r="O286" i="2"/>
  <c r="N286" i="2"/>
  <c r="M286" i="2"/>
  <c r="Q285" i="2"/>
  <c r="P285" i="2"/>
  <c r="O285" i="2"/>
  <c r="N285" i="2"/>
  <c r="M285" i="2"/>
  <c r="Q284" i="2"/>
  <c r="P284" i="2"/>
  <c r="O284" i="2"/>
  <c r="N284" i="2"/>
  <c r="M284" i="2"/>
  <c r="Q283" i="2"/>
  <c r="P283" i="2"/>
  <c r="O283" i="2"/>
  <c r="N283" i="2"/>
  <c r="M283" i="2"/>
  <c r="Q282" i="2"/>
  <c r="P282" i="2"/>
  <c r="O282" i="2"/>
  <c r="N282" i="2"/>
  <c r="M282" i="2"/>
  <c r="Q281" i="2"/>
  <c r="P281" i="2"/>
  <c r="O281" i="2"/>
  <c r="N281" i="2"/>
  <c r="M281" i="2"/>
  <c r="Q280" i="2"/>
  <c r="P280" i="2"/>
  <c r="O280" i="2"/>
  <c r="N280" i="2"/>
  <c r="M280" i="2"/>
  <c r="Q279" i="2"/>
  <c r="P279" i="2"/>
  <c r="O279" i="2"/>
  <c r="N279" i="2"/>
  <c r="M279" i="2"/>
  <c r="Q278" i="2"/>
  <c r="P278" i="2"/>
  <c r="O278" i="2"/>
  <c r="N278" i="2"/>
  <c r="M278" i="2"/>
  <c r="Q269" i="2"/>
  <c r="P269" i="2"/>
  <c r="O269" i="2"/>
  <c r="N269" i="2"/>
  <c r="M269" i="2"/>
  <c r="Q268" i="2"/>
  <c r="P268" i="2"/>
  <c r="O268" i="2"/>
  <c r="N268" i="2"/>
  <c r="M268" i="2"/>
  <c r="Q267" i="2"/>
  <c r="P267" i="2"/>
  <c r="O267" i="2"/>
  <c r="N267" i="2"/>
  <c r="M267" i="2"/>
  <c r="Q266" i="2"/>
  <c r="P266" i="2"/>
  <c r="O266" i="2"/>
  <c r="N266" i="2"/>
  <c r="M266" i="2"/>
  <c r="Q265" i="2"/>
  <c r="P265" i="2"/>
  <c r="O265" i="2"/>
  <c r="N265" i="2"/>
  <c r="M265" i="2"/>
  <c r="Q264" i="2"/>
  <c r="P264" i="2"/>
  <c r="O264" i="2"/>
  <c r="N264" i="2"/>
  <c r="M264" i="2"/>
  <c r="Q263" i="2"/>
  <c r="P263" i="2"/>
  <c r="O263" i="2"/>
  <c r="N263" i="2"/>
  <c r="M263" i="2"/>
  <c r="Q262" i="2"/>
  <c r="P262" i="2"/>
  <c r="O262" i="2"/>
  <c r="N262" i="2"/>
  <c r="M262" i="2"/>
  <c r="Q261" i="2"/>
  <c r="P261" i="2"/>
  <c r="O261" i="2"/>
  <c r="N261" i="2"/>
  <c r="M261" i="2"/>
  <c r="Q260" i="2"/>
  <c r="P260" i="2"/>
  <c r="O260" i="2"/>
  <c r="N260" i="2"/>
  <c r="M260" i="2"/>
  <c r="Q259" i="2"/>
  <c r="P259" i="2"/>
  <c r="O259" i="2"/>
  <c r="N259" i="2"/>
  <c r="M259" i="2"/>
  <c r="Q258" i="2"/>
  <c r="P258" i="2"/>
  <c r="O258" i="2"/>
  <c r="N258" i="2"/>
  <c r="M258" i="2"/>
  <c r="Q257" i="2"/>
  <c r="P257" i="2"/>
  <c r="O257" i="2"/>
  <c r="N257" i="2"/>
  <c r="M257" i="2"/>
  <c r="Q256" i="2"/>
  <c r="P256" i="2"/>
  <c r="O256" i="2"/>
  <c r="N256" i="2"/>
  <c r="M256" i="2"/>
  <c r="Q255" i="2"/>
  <c r="P255" i="2"/>
  <c r="O255" i="2"/>
  <c r="N255" i="2"/>
  <c r="M255" i="2"/>
  <c r="Q254" i="2"/>
  <c r="P254" i="2"/>
  <c r="O254" i="2"/>
  <c r="N254" i="2"/>
  <c r="M254" i="2"/>
  <c r="Q245" i="2"/>
  <c r="P245" i="2"/>
  <c r="O245" i="2"/>
  <c r="N245" i="2"/>
  <c r="M245" i="2"/>
  <c r="Q244" i="2"/>
  <c r="P244" i="2"/>
  <c r="O244" i="2"/>
  <c r="N244" i="2"/>
  <c r="M244" i="2"/>
  <c r="Q243" i="2"/>
  <c r="P243" i="2"/>
  <c r="O243" i="2"/>
  <c r="N243" i="2"/>
  <c r="M243" i="2"/>
  <c r="Q242" i="2"/>
  <c r="P242" i="2"/>
  <c r="O242" i="2"/>
  <c r="N242" i="2"/>
  <c r="M242" i="2"/>
  <c r="Q241" i="2"/>
  <c r="P241" i="2"/>
  <c r="O241" i="2"/>
  <c r="N241" i="2"/>
  <c r="M241" i="2"/>
  <c r="Q240" i="2"/>
  <c r="P240" i="2"/>
  <c r="O240" i="2"/>
  <c r="N240" i="2"/>
  <c r="M240" i="2"/>
  <c r="Q239" i="2"/>
  <c r="P239" i="2"/>
  <c r="O239" i="2"/>
  <c r="N239" i="2"/>
  <c r="M239" i="2"/>
  <c r="Q238" i="2"/>
  <c r="P238" i="2"/>
  <c r="O238" i="2"/>
  <c r="N238" i="2"/>
  <c r="M238" i="2"/>
  <c r="Q237" i="2"/>
  <c r="P237" i="2"/>
  <c r="O237" i="2"/>
  <c r="N237" i="2"/>
  <c r="M237" i="2"/>
  <c r="Q236" i="2"/>
  <c r="P236" i="2"/>
  <c r="O236" i="2"/>
  <c r="N236" i="2"/>
  <c r="M236" i="2"/>
  <c r="Q235" i="2"/>
  <c r="P235" i="2"/>
  <c r="O235" i="2"/>
  <c r="N235" i="2"/>
  <c r="M235" i="2"/>
  <c r="Q234" i="2"/>
  <c r="P234" i="2"/>
  <c r="O234" i="2"/>
  <c r="N234" i="2"/>
  <c r="M234" i="2"/>
  <c r="Q233" i="2"/>
  <c r="P233" i="2"/>
  <c r="O233" i="2"/>
  <c r="N233" i="2"/>
  <c r="M233" i="2"/>
  <c r="Q232" i="2"/>
  <c r="P232" i="2"/>
  <c r="O232" i="2"/>
  <c r="N232" i="2"/>
  <c r="M232" i="2"/>
  <c r="Q231" i="2"/>
  <c r="P231" i="2"/>
  <c r="O231" i="2"/>
  <c r="N231" i="2"/>
  <c r="M231" i="2"/>
  <c r="Q230" i="2"/>
  <c r="P230" i="2"/>
  <c r="O230" i="2"/>
  <c r="N230" i="2"/>
  <c r="M230" i="2"/>
  <c r="Q221" i="2"/>
  <c r="P221" i="2"/>
  <c r="O221" i="2"/>
  <c r="N221" i="2"/>
  <c r="M221" i="2"/>
  <c r="Q220" i="2"/>
  <c r="P220" i="2"/>
  <c r="O220" i="2"/>
  <c r="N220" i="2"/>
  <c r="M220" i="2"/>
  <c r="Q219" i="2"/>
  <c r="P219" i="2"/>
  <c r="O219" i="2"/>
  <c r="N219" i="2"/>
  <c r="M219" i="2"/>
  <c r="Q218" i="2"/>
  <c r="P218" i="2"/>
  <c r="O218" i="2"/>
  <c r="N218" i="2"/>
  <c r="M218" i="2"/>
  <c r="Q217" i="2"/>
  <c r="P217" i="2"/>
  <c r="O217" i="2"/>
  <c r="N217" i="2"/>
  <c r="M217" i="2"/>
  <c r="Q216" i="2"/>
  <c r="P216" i="2"/>
  <c r="O216" i="2"/>
  <c r="N216" i="2"/>
  <c r="M216" i="2"/>
  <c r="Q215" i="2"/>
  <c r="P215" i="2"/>
  <c r="O215" i="2"/>
  <c r="N215" i="2"/>
  <c r="M215" i="2"/>
  <c r="Q214" i="2"/>
  <c r="P214" i="2"/>
  <c r="O214" i="2"/>
  <c r="N214" i="2"/>
  <c r="M214" i="2"/>
  <c r="Q213" i="2"/>
  <c r="P213" i="2"/>
  <c r="O213" i="2"/>
  <c r="N213" i="2"/>
  <c r="M213" i="2"/>
  <c r="Q212" i="2"/>
  <c r="P212" i="2"/>
  <c r="O212" i="2"/>
  <c r="N212" i="2"/>
  <c r="M212" i="2"/>
  <c r="Q211" i="2"/>
  <c r="P211" i="2"/>
  <c r="O211" i="2"/>
  <c r="N211" i="2"/>
  <c r="M211" i="2"/>
  <c r="Q210" i="2"/>
  <c r="P210" i="2"/>
  <c r="O210" i="2"/>
  <c r="N210" i="2"/>
  <c r="M210" i="2"/>
  <c r="Q209" i="2"/>
  <c r="P209" i="2"/>
  <c r="O209" i="2"/>
  <c r="N209" i="2"/>
  <c r="M209" i="2"/>
  <c r="Q208" i="2"/>
  <c r="P208" i="2"/>
  <c r="O208" i="2"/>
  <c r="N208" i="2"/>
  <c r="M208" i="2"/>
  <c r="Q207" i="2"/>
  <c r="P207" i="2"/>
  <c r="O207" i="2"/>
  <c r="N207" i="2"/>
  <c r="M207" i="2"/>
  <c r="Q206" i="2"/>
  <c r="P206" i="2"/>
  <c r="O206" i="2"/>
  <c r="N206" i="2"/>
  <c r="M206" i="2"/>
  <c r="Q197" i="2"/>
  <c r="P197" i="2"/>
  <c r="O197" i="2"/>
  <c r="N197" i="2"/>
  <c r="M197" i="2"/>
  <c r="Q196" i="2"/>
  <c r="P196" i="2"/>
  <c r="O196" i="2"/>
  <c r="N196" i="2"/>
  <c r="M196" i="2"/>
  <c r="Q195" i="2"/>
  <c r="P195" i="2"/>
  <c r="O195" i="2"/>
  <c r="N195" i="2"/>
  <c r="M195" i="2"/>
  <c r="Q194" i="2"/>
  <c r="P194" i="2"/>
  <c r="O194" i="2"/>
  <c r="N194" i="2"/>
  <c r="M194" i="2"/>
  <c r="Q193" i="2"/>
  <c r="P193" i="2"/>
  <c r="O193" i="2"/>
  <c r="N193" i="2"/>
  <c r="M193" i="2"/>
  <c r="Q192" i="2"/>
  <c r="P192" i="2"/>
  <c r="O192" i="2"/>
  <c r="N192" i="2"/>
  <c r="M192" i="2"/>
  <c r="Q191" i="2"/>
  <c r="P191" i="2"/>
  <c r="O191" i="2"/>
  <c r="N191" i="2"/>
  <c r="M191" i="2"/>
  <c r="Q190" i="2"/>
  <c r="P190" i="2"/>
  <c r="O190" i="2"/>
  <c r="N190" i="2"/>
  <c r="M190" i="2"/>
  <c r="Q189" i="2"/>
  <c r="P189" i="2"/>
  <c r="O189" i="2"/>
  <c r="N189" i="2"/>
  <c r="M189" i="2"/>
  <c r="Q188" i="2"/>
  <c r="P188" i="2"/>
  <c r="O188" i="2"/>
  <c r="N188" i="2"/>
  <c r="M188" i="2"/>
  <c r="Q187" i="2"/>
  <c r="P187" i="2"/>
  <c r="O187" i="2"/>
  <c r="N187" i="2"/>
  <c r="M187" i="2"/>
  <c r="Q186" i="2"/>
  <c r="P186" i="2"/>
  <c r="O186" i="2"/>
  <c r="N186" i="2"/>
  <c r="M186" i="2"/>
  <c r="Q185" i="2"/>
  <c r="P185" i="2"/>
  <c r="O185" i="2"/>
  <c r="N185" i="2"/>
  <c r="M185" i="2"/>
  <c r="Q184" i="2"/>
  <c r="P184" i="2"/>
  <c r="O184" i="2"/>
  <c r="N184" i="2"/>
  <c r="M184" i="2"/>
  <c r="Q183" i="2"/>
  <c r="P183" i="2"/>
  <c r="O183" i="2"/>
  <c r="N183" i="2"/>
  <c r="M183" i="2"/>
  <c r="Q182" i="2"/>
  <c r="P182" i="2"/>
  <c r="O182" i="2"/>
  <c r="N182" i="2"/>
  <c r="M182" i="2"/>
  <c r="Q173" i="2"/>
  <c r="P173" i="2"/>
  <c r="O173" i="2"/>
  <c r="N173" i="2"/>
  <c r="M173" i="2"/>
  <c r="Q172" i="2"/>
  <c r="P172" i="2"/>
  <c r="O172" i="2"/>
  <c r="N172" i="2"/>
  <c r="M172" i="2"/>
  <c r="Q171" i="2"/>
  <c r="P171" i="2"/>
  <c r="O171" i="2"/>
  <c r="N171" i="2"/>
  <c r="M171" i="2"/>
  <c r="Q170" i="2"/>
  <c r="P170" i="2"/>
  <c r="O170" i="2"/>
  <c r="N170" i="2"/>
  <c r="M170" i="2"/>
  <c r="Q169" i="2"/>
  <c r="P169" i="2"/>
  <c r="O169" i="2"/>
  <c r="N169" i="2"/>
  <c r="M169" i="2"/>
  <c r="Q168" i="2"/>
  <c r="P168" i="2"/>
  <c r="O168" i="2"/>
  <c r="N168" i="2"/>
  <c r="M168" i="2"/>
  <c r="Q167" i="2"/>
  <c r="P167" i="2"/>
  <c r="O167" i="2"/>
  <c r="N167" i="2"/>
  <c r="M167" i="2"/>
  <c r="Q166" i="2"/>
  <c r="P166" i="2"/>
  <c r="O166" i="2"/>
  <c r="N166" i="2"/>
  <c r="M166" i="2"/>
  <c r="Q165" i="2"/>
  <c r="P165" i="2"/>
  <c r="O165" i="2"/>
  <c r="N165" i="2"/>
  <c r="M165" i="2"/>
  <c r="Q164" i="2"/>
  <c r="P164" i="2"/>
  <c r="O164" i="2"/>
  <c r="N164" i="2"/>
  <c r="M164" i="2"/>
  <c r="Q163" i="2"/>
  <c r="P163" i="2"/>
  <c r="O163" i="2"/>
  <c r="N163" i="2"/>
  <c r="M163" i="2"/>
  <c r="Q162" i="2"/>
  <c r="P162" i="2"/>
  <c r="O162" i="2"/>
  <c r="N162" i="2"/>
  <c r="M162" i="2"/>
  <c r="Q161" i="2"/>
  <c r="P161" i="2"/>
  <c r="O161" i="2"/>
  <c r="N161" i="2"/>
  <c r="M161" i="2"/>
  <c r="Q160" i="2"/>
  <c r="P160" i="2"/>
  <c r="O160" i="2"/>
  <c r="N160" i="2"/>
  <c r="M160" i="2"/>
  <c r="Q159" i="2"/>
  <c r="P159" i="2"/>
  <c r="O159" i="2"/>
  <c r="N159" i="2"/>
  <c r="M159" i="2"/>
  <c r="Q158" i="2"/>
  <c r="P158" i="2"/>
  <c r="O158" i="2"/>
  <c r="N158" i="2"/>
  <c r="M158" i="2"/>
  <c r="Q149" i="2"/>
  <c r="P149" i="2"/>
  <c r="O149" i="2"/>
  <c r="N149" i="2"/>
  <c r="M149" i="2"/>
  <c r="Q148" i="2"/>
  <c r="P148" i="2"/>
  <c r="O148" i="2"/>
  <c r="N148" i="2"/>
  <c r="M148" i="2"/>
  <c r="Q147" i="2"/>
  <c r="P147" i="2"/>
  <c r="O147" i="2"/>
  <c r="N147" i="2"/>
  <c r="M147" i="2"/>
  <c r="Q146" i="2"/>
  <c r="P146" i="2"/>
  <c r="O146" i="2"/>
  <c r="N146" i="2"/>
  <c r="M146" i="2"/>
  <c r="Q145" i="2"/>
  <c r="P145" i="2"/>
  <c r="O145" i="2"/>
  <c r="N145" i="2"/>
  <c r="M145" i="2"/>
  <c r="Q144" i="2"/>
  <c r="P144" i="2"/>
  <c r="O144" i="2"/>
  <c r="N144" i="2"/>
  <c r="M144" i="2"/>
  <c r="Q143" i="2"/>
  <c r="P143" i="2"/>
  <c r="O143" i="2"/>
  <c r="N143" i="2"/>
  <c r="M143" i="2"/>
  <c r="Q142" i="2"/>
  <c r="P142" i="2"/>
  <c r="O142" i="2"/>
  <c r="N142" i="2"/>
  <c r="M142" i="2"/>
  <c r="Q141" i="2"/>
  <c r="P141" i="2"/>
  <c r="O141" i="2"/>
  <c r="N141" i="2"/>
  <c r="M141" i="2"/>
  <c r="Q140" i="2"/>
  <c r="P140" i="2"/>
  <c r="O140" i="2"/>
  <c r="N140" i="2"/>
  <c r="M140" i="2"/>
  <c r="Q139" i="2"/>
  <c r="P139" i="2"/>
  <c r="O139" i="2"/>
  <c r="N139" i="2"/>
  <c r="M139" i="2"/>
  <c r="Q138" i="2"/>
  <c r="P138" i="2"/>
  <c r="O138" i="2"/>
  <c r="N138" i="2"/>
  <c r="M138" i="2"/>
  <c r="Q137" i="2"/>
  <c r="P137" i="2"/>
  <c r="O137" i="2"/>
  <c r="N137" i="2"/>
  <c r="M137" i="2"/>
  <c r="Q136" i="2"/>
  <c r="P136" i="2"/>
  <c r="O136" i="2"/>
  <c r="N136" i="2"/>
  <c r="M136" i="2"/>
  <c r="Q135" i="2"/>
  <c r="P135" i="2"/>
  <c r="O135" i="2"/>
  <c r="N135" i="2"/>
  <c r="M135" i="2"/>
  <c r="Q134" i="2"/>
  <c r="P134" i="2"/>
  <c r="O134" i="2"/>
  <c r="N134" i="2"/>
  <c r="M134" i="2"/>
  <c r="Q125" i="2"/>
  <c r="P125" i="2"/>
  <c r="O125" i="2"/>
  <c r="N125" i="2"/>
  <c r="M125" i="2"/>
  <c r="Q124" i="2"/>
  <c r="P124" i="2"/>
  <c r="O124" i="2"/>
  <c r="N124" i="2"/>
  <c r="M124" i="2"/>
  <c r="Q123" i="2"/>
  <c r="P123" i="2"/>
  <c r="O123" i="2"/>
  <c r="N123" i="2"/>
  <c r="M123" i="2"/>
  <c r="Q122" i="2"/>
  <c r="P122" i="2"/>
  <c r="O122" i="2"/>
  <c r="N122" i="2"/>
  <c r="M122" i="2"/>
  <c r="Q121" i="2"/>
  <c r="P121" i="2"/>
  <c r="O121" i="2"/>
  <c r="N121" i="2"/>
  <c r="M121" i="2"/>
  <c r="Q120" i="2"/>
  <c r="P120" i="2"/>
  <c r="O120" i="2"/>
  <c r="N120" i="2"/>
  <c r="M120" i="2"/>
  <c r="Q119" i="2"/>
  <c r="P119" i="2"/>
  <c r="O119" i="2"/>
  <c r="N119" i="2"/>
  <c r="M119" i="2"/>
  <c r="Q118" i="2"/>
  <c r="P118" i="2"/>
  <c r="O118" i="2"/>
  <c r="N118" i="2"/>
  <c r="M118" i="2"/>
  <c r="Q117" i="2"/>
  <c r="P117" i="2"/>
  <c r="O117" i="2"/>
  <c r="N117" i="2"/>
  <c r="M117" i="2"/>
  <c r="Q116" i="2"/>
  <c r="P116" i="2"/>
  <c r="O116" i="2"/>
  <c r="N116" i="2"/>
  <c r="M116" i="2"/>
  <c r="Q115" i="2"/>
  <c r="P115" i="2"/>
  <c r="O115" i="2"/>
  <c r="N115" i="2"/>
  <c r="M115" i="2"/>
  <c r="Q114" i="2"/>
  <c r="P114" i="2"/>
  <c r="O114" i="2"/>
  <c r="N114" i="2"/>
  <c r="M114" i="2"/>
  <c r="Q113" i="2"/>
  <c r="P113" i="2"/>
  <c r="O113" i="2"/>
  <c r="N113" i="2"/>
  <c r="M113" i="2"/>
  <c r="Q112" i="2"/>
  <c r="P112" i="2"/>
  <c r="O112" i="2"/>
  <c r="N112" i="2"/>
  <c r="M112" i="2"/>
  <c r="Q111" i="2"/>
  <c r="P111" i="2"/>
  <c r="O111" i="2"/>
  <c r="N111" i="2"/>
  <c r="M111" i="2"/>
  <c r="Q110" i="2"/>
  <c r="P110" i="2"/>
  <c r="O110" i="2"/>
  <c r="N110" i="2"/>
  <c r="M110" i="2"/>
  <c r="Q101" i="2"/>
  <c r="P101" i="2"/>
  <c r="O101" i="2"/>
  <c r="N101" i="2"/>
  <c r="M101" i="2"/>
  <c r="Q100" i="2"/>
  <c r="P100" i="2"/>
  <c r="O100" i="2"/>
  <c r="N100" i="2"/>
  <c r="M100" i="2"/>
  <c r="Q99" i="2"/>
  <c r="P99" i="2"/>
  <c r="O99" i="2"/>
  <c r="N99" i="2"/>
  <c r="M99" i="2"/>
  <c r="Q98" i="2"/>
  <c r="P98" i="2"/>
  <c r="O98" i="2"/>
  <c r="N98" i="2"/>
  <c r="M98" i="2"/>
  <c r="Q97" i="2"/>
  <c r="P97" i="2"/>
  <c r="O97" i="2"/>
  <c r="N97" i="2"/>
  <c r="M97" i="2"/>
  <c r="Q96" i="2"/>
  <c r="P96" i="2"/>
  <c r="O96" i="2"/>
  <c r="N96" i="2"/>
  <c r="M96" i="2"/>
  <c r="Q95" i="2"/>
  <c r="P95" i="2"/>
  <c r="O95" i="2"/>
  <c r="N95" i="2"/>
  <c r="M95" i="2"/>
  <c r="Q94" i="2"/>
  <c r="P94" i="2"/>
  <c r="O94" i="2"/>
  <c r="N94" i="2"/>
  <c r="M94" i="2"/>
  <c r="Q93" i="2"/>
  <c r="P93" i="2"/>
  <c r="O93" i="2"/>
  <c r="N93" i="2"/>
  <c r="M93" i="2"/>
  <c r="Q92" i="2"/>
  <c r="P92" i="2"/>
  <c r="O92" i="2"/>
  <c r="N92" i="2"/>
  <c r="M92" i="2"/>
  <c r="Q91" i="2"/>
  <c r="P91" i="2"/>
  <c r="O91" i="2"/>
  <c r="N91" i="2"/>
  <c r="M91" i="2"/>
  <c r="Q90" i="2"/>
  <c r="P90" i="2"/>
  <c r="O90" i="2"/>
  <c r="N90" i="2"/>
  <c r="M90" i="2"/>
  <c r="Q89" i="2"/>
  <c r="P89" i="2"/>
  <c r="O89" i="2"/>
  <c r="N89" i="2"/>
  <c r="M89" i="2"/>
  <c r="Q88" i="2"/>
  <c r="P88" i="2"/>
  <c r="O88" i="2"/>
  <c r="N88" i="2"/>
  <c r="M88" i="2"/>
  <c r="Q87" i="2"/>
  <c r="P87" i="2"/>
  <c r="O87" i="2"/>
  <c r="N87" i="2"/>
  <c r="M87" i="2"/>
  <c r="Q86" i="2"/>
  <c r="P86" i="2"/>
  <c r="O86" i="2"/>
  <c r="N86" i="2"/>
  <c r="M86" i="2"/>
  <c r="Q77" i="2"/>
  <c r="P77" i="2"/>
  <c r="O77" i="2"/>
  <c r="N77" i="2"/>
  <c r="M77" i="2"/>
  <c r="Q76" i="2"/>
  <c r="P76" i="2"/>
  <c r="O76" i="2"/>
  <c r="N76" i="2"/>
  <c r="M76" i="2"/>
  <c r="Q75" i="2"/>
  <c r="P75" i="2"/>
  <c r="O75" i="2"/>
  <c r="N75" i="2"/>
  <c r="M75" i="2"/>
  <c r="Q74" i="2"/>
  <c r="P74" i="2"/>
  <c r="O74" i="2"/>
  <c r="N74" i="2"/>
  <c r="M74" i="2"/>
  <c r="Q73" i="2"/>
  <c r="P73" i="2"/>
  <c r="O73" i="2"/>
  <c r="N73" i="2"/>
  <c r="M73" i="2"/>
  <c r="Q72" i="2"/>
  <c r="P72" i="2"/>
  <c r="O72" i="2"/>
  <c r="N72" i="2"/>
  <c r="M72" i="2"/>
  <c r="Q71" i="2"/>
  <c r="P71" i="2"/>
  <c r="O71" i="2"/>
  <c r="N71" i="2"/>
  <c r="M71" i="2"/>
  <c r="Q70" i="2"/>
  <c r="P70" i="2"/>
  <c r="O70" i="2"/>
  <c r="N70" i="2"/>
  <c r="M70" i="2"/>
  <c r="Q69" i="2"/>
  <c r="P69" i="2"/>
  <c r="O69" i="2"/>
  <c r="N69" i="2"/>
  <c r="M69" i="2"/>
  <c r="Q68" i="2"/>
  <c r="P68" i="2"/>
  <c r="O68" i="2"/>
  <c r="N68" i="2"/>
  <c r="M68" i="2"/>
  <c r="Q67" i="2"/>
  <c r="P67" i="2"/>
  <c r="O67" i="2"/>
  <c r="N67" i="2"/>
  <c r="M67" i="2"/>
  <c r="Q66" i="2"/>
  <c r="P66" i="2"/>
  <c r="O66" i="2"/>
  <c r="N66" i="2"/>
  <c r="M66" i="2"/>
  <c r="Q65" i="2"/>
  <c r="P65" i="2"/>
  <c r="O65" i="2"/>
  <c r="N65" i="2"/>
  <c r="M65" i="2"/>
  <c r="Q64" i="2"/>
  <c r="P64" i="2"/>
  <c r="O64" i="2"/>
  <c r="N64" i="2"/>
  <c r="M64" i="2"/>
  <c r="Q63" i="2"/>
  <c r="P63" i="2"/>
  <c r="O63" i="2"/>
  <c r="N63" i="2"/>
  <c r="M63" i="2"/>
  <c r="Q62" i="2"/>
  <c r="P62" i="2"/>
  <c r="O62" i="2"/>
  <c r="N62" i="2"/>
  <c r="M62" i="2"/>
  <c r="Q53" i="2"/>
  <c r="P53" i="2"/>
  <c r="O53" i="2"/>
  <c r="N53" i="2"/>
  <c r="M53" i="2"/>
  <c r="Q52" i="2"/>
  <c r="P52" i="2"/>
  <c r="O52" i="2"/>
  <c r="N52" i="2"/>
  <c r="M52" i="2"/>
  <c r="Q51" i="2"/>
  <c r="P51" i="2"/>
  <c r="O51" i="2"/>
  <c r="N51" i="2"/>
  <c r="M51" i="2"/>
  <c r="Q50" i="2"/>
  <c r="P50" i="2"/>
  <c r="O50" i="2"/>
  <c r="N50" i="2"/>
  <c r="M50" i="2"/>
  <c r="Q49" i="2"/>
  <c r="P49" i="2"/>
  <c r="O49" i="2"/>
  <c r="N49" i="2"/>
  <c r="M49" i="2"/>
  <c r="Q48" i="2"/>
  <c r="P48" i="2"/>
  <c r="O48" i="2"/>
  <c r="N48" i="2"/>
  <c r="M48" i="2"/>
  <c r="Q47" i="2"/>
  <c r="P47" i="2"/>
  <c r="O47" i="2"/>
  <c r="N47" i="2"/>
  <c r="M47" i="2"/>
  <c r="Q46" i="2"/>
  <c r="P46" i="2"/>
  <c r="O46" i="2"/>
  <c r="N46" i="2"/>
  <c r="M46" i="2"/>
  <c r="Q45" i="2"/>
  <c r="P45" i="2"/>
  <c r="O45" i="2"/>
  <c r="N45" i="2"/>
  <c r="M45" i="2"/>
  <c r="Q44" i="2"/>
  <c r="P44" i="2"/>
  <c r="O44" i="2"/>
  <c r="N44" i="2"/>
  <c r="M44" i="2"/>
  <c r="Q43" i="2"/>
  <c r="P43" i="2"/>
  <c r="O43" i="2"/>
  <c r="N43" i="2"/>
  <c r="M43" i="2"/>
  <c r="Q42" i="2"/>
  <c r="P42" i="2"/>
  <c r="O42" i="2"/>
  <c r="N42" i="2"/>
  <c r="M42" i="2"/>
  <c r="Q41" i="2"/>
  <c r="P41" i="2"/>
  <c r="O41" i="2"/>
  <c r="N41" i="2"/>
  <c r="M41" i="2"/>
  <c r="Q40" i="2"/>
  <c r="P40" i="2"/>
  <c r="O40" i="2"/>
  <c r="N40" i="2"/>
  <c r="M40" i="2"/>
  <c r="Q39" i="2"/>
  <c r="P39" i="2"/>
  <c r="O39" i="2"/>
  <c r="N39" i="2"/>
  <c r="M39" i="2"/>
  <c r="Q38" i="2"/>
  <c r="P38" i="2"/>
  <c r="O38" i="2"/>
  <c r="N38" i="2"/>
  <c r="M38" i="2"/>
  <c r="Q29" i="2"/>
  <c r="P29" i="2"/>
  <c r="O29" i="2"/>
  <c r="N29" i="2"/>
  <c r="M29" i="2"/>
  <c r="Q28" i="2"/>
  <c r="P28" i="2"/>
  <c r="O28" i="2"/>
  <c r="N28" i="2"/>
  <c r="M28" i="2"/>
  <c r="Q27" i="2"/>
  <c r="P27" i="2"/>
  <c r="O27" i="2"/>
  <c r="N27" i="2"/>
  <c r="M27" i="2"/>
  <c r="Q26" i="2"/>
  <c r="P26" i="2"/>
  <c r="O26" i="2"/>
  <c r="N26" i="2"/>
  <c r="M26" i="2"/>
  <c r="M5" i="2"/>
  <c r="N5" i="2"/>
  <c r="O5" i="2"/>
  <c r="P5" i="2"/>
  <c r="Q5" i="2"/>
  <c r="M6" i="2"/>
  <c r="N6" i="2"/>
  <c r="O6" i="2"/>
  <c r="P6" i="2"/>
  <c r="Q6" i="2"/>
  <c r="M16" i="2"/>
  <c r="N16" i="2"/>
  <c r="O16" i="2"/>
  <c r="P16" i="2"/>
  <c r="Q16" i="2"/>
  <c r="M17" i="2"/>
  <c r="N17" i="2"/>
  <c r="O17" i="2"/>
  <c r="P17" i="2"/>
  <c r="Q17" i="2"/>
  <c r="M18" i="2"/>
  <c r="N18" i="2"/>
  <c r="O18" i="2"/>
  <c r="P18" i="2"/>
  <c r="Q18" i="2"/>
  <c r="M19" i="2"/>
  <c r="N19" i="2"/>
  <c r="O19" i="2"/>
  <c r="P19" i="2"/>
  <c r="Q19" i="2"/>
  <c r="M20" i="2"/>
  <c r="N20" i="2"/>
  <c r="O20" i="2"/>
  <c r="P20" i="2"/>
  <c r="Q20" i="2"/>
  <c r="M21" i="2"/>
  <c r="N21" i="2"/>
  <c r="O21" i="2"/>
  <c r="P21" i="2"/>
  <c r="Q21" i="2"/>
  <c r="M22" i="2"/>
  <c r="N22" i="2"/>
  <c r="O22" i="2"/>
  <c r="P22" i="2"/>
  <c r="Q22" i="2"/>
  <c r="M23" i="2"/>
  <c r="N23" i="2"/>
  <c r="O23" i="2"/>
  <c r="P23" i="2"/>
  <c r="Q23" i="2"/>
  <c r="M24" i="2"/>
  <c r="N24" i="2"/>
  <c r="O24" i="2"/>
  <c r="P24" i="2"/>
  <c r="Q24" i="2"/>
  <c r="M25" i="2"/>
  <c r="N25" i="2"/>
  <c r="O25" i="2"/>
  <c r="P25" i="2"/>
  <c r="Q25" i="2"/>
  <c r="Q4" i="2"/>
  <c r="P4" i="2"/>
  <c r="O4" i="2"/>
  <c r="N4" i="2"/>
  <c r="M4" i="2"/>
  <c r="Q3" i="2"/>
  <c r="P3" i="2"/>
  <c r="O3" i="2"/>
  <c r="N3" i="2"/>
  <c r="M3" i="2"/>
  <c r="Q2" i="2"/>
  <c r="P2" i="2"/>
  <c r="O2" i="2"/>
  <c r="N2" i="2"/>
  <c r="M2" i="2"/>
</calcChain>
</file>

<file path=xl/sharedStrings.xml><?xml version="1.0" encoding="utf-8"?>
<sst xmlns="http://schemas.openxmlformats.org/spreadsheetml/2006/main" count="2750" uniqueCount="77">
  <si>
    <t>상담일자</t>
  </si>
  <si>
    <t>Dnis</t>
  </si>
  <si>
    <t>Channel</t>
  </si>
  <si>
    <t>I/B콜수</t>
  </si>
  <si>
    <t>응대호</t>
  </si>
  <si>
    <t>1899-7325</t>
  </si>
  <si>
    <t>JTBC4</t>
  </si>
  <si>
    <t>2102-4590</t>
  </si>
  <si>
    <t>발신</t>
  </si>
  <si>
    <t>1899-0762</t>
  </si>
  <si>
    <t>1899-7316</t>
  </si>
  <si>
    <t>1899-0219</t>
  </si>
  <si>
    <t>SPOTV</t>
  </si>
  <si>
    <t>1899-0218</t>
  </si>
  <si>
    <t>EBS</t>
  </si>
  <si>
    <t>1899-7318</t>
  </si>
  <si>
    <t>1899-0739</t>
  </si>
  <si>
    <t>1899-0519</t>
  </si>
  <si>
    <t>SPOTV2</t>
  </si>
  <si>
    <t>1899-0776</t>
  </si>
  <si>
    <t>라이프타임</t>
  </si>
  <si>
    <t>1899-5186</t>
  </si>
  <si>
    <t>시네마천국</t>
  </si>
  <si>
    <t>1899-7314</t>
  </si>
  <si>
    <t>1899-7319</t>
  </si>
  <si>
    <t>1899-0325</t>
  </si>
  <si>
    <t>1899-7326</t>
  </si>
  <si>
    <t>정기건수</t>
    <phoneticPr fontId="18" type="noConversion"/>
  </si>
  <si>
    <t>정기금액</t>
    <phoneticPr fontId="18" type="noConversion"/>
  </si>
  <si>
    <t>일시건수</t>
    <phoneticPr fontId="18" type="noConversion"/>
  </si>
  <si>
    <t>일시금액</t>
    <phoneticPr fontId="18" type="noConversion"/>
  </si>
  <si>
    <t>식사지원 은영이ver2</t>
  </si>
  <si>
    <t>식사지원 지영이</t>
  </si>
  <si>
    <t>식사지원 준우_셰프</t>
  </si>
  <si>
    <t>가족돌봄 지수ver2</t>
  </si>
  <si>
    <t>SPOTV G&amp;H (SVC)</t>
  </si>
  <si>
    <t>JTBC2 (SVC)</t>
  </si>
  <si>
    <t>히스토리 (SVC)</t>
  </si>
  <si>
    <t>기타 TV채널</t>
  </si>
  <si>
    <t>소재</t>
    <phoneticPr fontId="18" type="noConversion"/>
  </si>
  <si>
    <t>광고비</t>
    <phoneticPr fontId="18" type="noConversion"/>
  </si>
  <si>
    <t>광고횟수</t>
    <phoneticPr fontId="18" type="noConversion"/>
  </si>
  <si>
    <t>-</t>
    <phoneticPr fontId="18" type="noConversion"/>
  </si>
  <si>
    <t>뇌병변 무준이ver2</t>
  </si>
  <si>
    <t>가족돌봄 지수</t>
  </si>
  <si>
    <t>ROI</t>
  </si>
  <si>
    <t>CPR</t>
  </si>
  <si>
    <t>응대율</t>
  </si>
  <si>
    <t>콜전환율</t>
  </si>
  <si>
    <t>정기전환율</t>
  </si>
  <si>
    <t>빌리어즈TV</t>
  </si>
  <si>
    <t>1899-0217</t>
  </si>
  <si>
    <t>난방비 동하</t>
  </si>
  <si>
    <t>난방비 동하</t>
    <phoneticPr fontId="18" type="noConversion"/>
  </si>
  <si>
    <t>식사지원 은영이_콜문구</t>
  </si>
  <si>
    <t>1899-0739</t>
    <phoneticPr fontId="18" type="noConversion"/>
  </si>
  <si>
    <t>1899-0263</t>
  </si>
  <si>
    <t>바둑TV</t>
  </si>
  <si>
    <t>CNTV</t>
  </si>
  <si>
    <t>식사지원 지영이</t>
    <phoneticPr fontId="18" type="noConversion"/>
  </si>
  <si>
    <t>1899-3854</t>
  </si>
  <si>
    <t>1899-7317</t>
  </si>
  <si>
    <t>1899-7315</t>
  </si>
  <si>
    <t>채널J</t>
  </si>
  <si>
    <t>애니원, 애니박스 (SVC)</t>
  </si>
  <si>
    <t>중화TV</t>
  </si>
  <si>
    <t>식사지원 은영이ver2</t>
    <phoneticPr fontId="18" type="noConversion"/>
  </si>
  <si>
    <t>식사지원 은영이_콜문구</t>
    <phoneticPr fontId="18" type="noConversion"/>
  </si>
  <si>
    <t>-</t>
  </si>
  <si>
    <t>은영이 셀럽</t>
  </si>
  <si>
    <t>식사지원 은영이 ver2</t>
  </si>
  <si>
    <t>식사지원 준우_메인</t>
  </si>
  <si>
    <t>식사지원 준우_아동</t>
  </si>
  <si>
    <t>식사지원 준우_할머니</t>
  </si>
  <si>
    <t>1899-2887</t>
  </si>
  <si>
    <t>1899-0795</t>
  </si>
  <si>
    <t>1899-3569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</si>
</sst>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/>
  </cellStyleXfs>
  <cellXfs count="9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41" fontId="19" fillId="0" borderId="0" xfId="1" applyFont="1" applyAlignment="1">
      <alignment horizontal="center" vertical="center"/>
    </xf>
    <xf numFmtId="41" fontId="19" fillId="0" borderId="0" xfId="1" applyFont="1" applyAlignment="1">
      <alignment horizontal="right" vertical="center"/>
    </xf>
    <xf numFmtId="9" fontId="19" fillId="0" borderId="0" xfId="2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right" vertical="center"/>
    </xf>
    <xf numFmtId="41" fontId="19" fillId="0" borderId="0" xfId="0" applyNumberFormat="1" applyFont="1" applyAlignment="1">
      <alignment horizontal="center" vertical="center"/>
    </xf>
  </cellXfs>
  <cellStyles count="48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쉼표 [0] 2 4" xfId="44" xr:uid="{0A6C4DF9-9E6D-45C6-919B-303CADBECEF8}"/>
    <cellStyle name="쉼표 [0] 4 11" xfId="45" xr:uid="{97D367DE-59C5-4B6F-86E6-EAB9DC093D50}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7" xr:uid="{23AF3710-B352-4760-86B9-F9E139C5CF0E}"/>
    <cellStyle name="표준 2 2" xfId="46" xr:uid="{83B25716-9DC3-4B89-B3A6-51CC78BBB8C7}"/>
  </cellStyles>
  <dxfs count="60">
    <dxf>
      <fill>
        <patternFill>
          <bgColor theme="8" tint="0.59996337778862885"/>
        </patternFill>
      </fill>
    </dxf>
    <dxf>
      <fill>
        <patternFill>
          <bgColor rgb="FF00FFFF"/>
        </patternFill>
      </fill>
    </dxf>
    <dxf>
      <fill>
        <patternFill>
          <bgColor theme="7" tint="0.7999816888943144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C7A1E3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FF99"/>
        </patternFill>
      </fill>
    </dxf>
    <dxf>
      <fill>
        <patternFill>
          <bgColor theme="8" tint="0.59996337778862885"/>
        </patternFill>
      </fill>
    </dxf>
    <dxf>
      <fill>
        <patternFill>
          <bgColor rgb="FF00FFFF"/>
        </patternFill>
      </fill>
    </dxf>
    <dxf>
      <fill>
        <patternFill>
          <bgColor theme="7" tint="0.7999816888943144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C7A1E3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FF99"/>
        </patternFill>
      </fill>
    </dxf>
    <dxf>
      <fill>
        <patternFill>
          <bgColor theme="8" tint="0.59996337778862885"/>
        </patternFill>
      </fill>
    </dxf>
    <dxf>
      <fill>
        <patternFill>
          <bgColor rgb="FF00FFFF"/>
        </patternFill>
      </fill>
    </dxf>
    <dxf>
      <fill>
        <patternFill>
          <bgColor theme="7" tint="0.7999816888943144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C7A1E3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FF99"/>
        </patternFill>
      </fill>
    </dxf>
    <dxf>
      <fill>
        <patternFill>
          <bgColor theme="8" tint="0.59996337778862885"/>
        </patternFill>
      </fill>
    </dxf>
    <dxf>
      <fill>
        <patternFill>
          <bgColor rgb="FF00FFFF"/>
        </patternFill>
      </fill>
    </dxf>
    <dxf>
      <fill>
        <patternFill>
          <bgColor theme="7" tint="0.7999816888943144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C7A1E3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FF99"/>
        </patternFill>
      </fill>
    </dxf>
    <dxf>
      <fill>
        <patternFill>
          <bgColor theme="8" tint="0.59996337778862885"/>
        </patternFill>
      </fill>
    </dxf>
    <dxf>
      <fill>
        <patternFill>
          <bgColor rgb="FF00FFFF"/>
        </patternFill>
      </fill>
    </dxf>
    <dxf>
      <fill>
        <patternFill>
          <bgColor theme="7" tint="0.7999816888943144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C7A1E3"/>
        </patternFill>
      </fill>
    </dxf>
    <dxf>
      <fill>
        <patternFill>
          <bgColor rgb="FFFFC000"/>
        </patternFill>
      </fill>
    </dxf>
    <dxf>
      <fill>
        <patternFill>
          <bgColor rgb="FFFFCCCC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798EB61B\channel_shceduler_1005_&#51452;&#44036;&#54200;&#494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324;&#54924;\Synad\&#44305;&#44256;&#51652;&#54665;&#49345;&#54889;\Accumulated%20Performance%20Data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652;&#50724;\My%20Documents\&#51228;&#50504;&#49436;\2010%202&#50900;\&#54140;&#54540;\&#51228;&#50504;&#49436;&amp;&#44144;&#47000;&#47749;&#49464;&#49436;\&#51060;&#50689;&#51452;&#52264;&#51109;&#45784;\&#50508;\&#49569;&#54028;-&#54616;&#51060;&#49828;&#53944;%20(&#50696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LEE\%23P&amp;G\P&amp;g98\P&amp;G98%20Bgt-Mda%20update\P&amp;G907%20BGT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hn\&#48148;&#53461;%20&#54868;&#47732;\NHN.Media%20Proposal.nhn..06&#45380;%2012&#509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KIM%20JUNG%20WON\AppData\Local\Microsoft\Windows\Temporary%20Internet%20Files\Content.Outlook\NQTICRAG\Smart%20BIG%20AD+ART+ARA_&#54056;&#49496;&#44536;&#47353;&#54805;&#51648;_&#44620;&#49828;&#53588;&#48148;&#51145;_&#51228;&#50504;&#45236;&#50669;(3&#44060;&#50900;)_DARTmedi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45.%20&#50724;&#44048;&#46020;\11.%20PR\01.%20&#52968;&#53584;&#52768;\&#50724;%20&#44048;%20&#46020;\&#50900;&#44036;&#51068;&#51221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hioffice/cache/temp/2001&#50504;&#50577;&#49849;(&#44400;&#54252;)/&#54788;&#45824;&#54856;&#49660;&#54609;/&#50629;&#47924;PM/5&#51204;&#45812;&#44288;&#47532;(200211).XLS" TargetMode="External"/><Relationship Id="rId1" Type="http://schemas.openxmlformats.org/officeDocument/2006/relationships/externalLinkPath" Target="/hioffice/cache/temp/2001&#50504;&#50577;&#49849;(&#44400;&#54252;)/&#54788;&#45824;&#54856;&#49660;&#54609;/&#50629;&#47924;PM/5&#51204;&#45812;&#44288;&#47532;(20021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AA\AppData\Local\Microsoft\Windows\Temporary%20Internet%20Files\Content.Outlook\XB5H0ZTH\2011_&#50689;&#54868;&#47588;&#52404;&#48708;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user\Desktop\&#51228;&#50504;&#49436;&#54268;\&#9733;2017%20MAN&amp;M-play%20MIX_ver.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hiny\My%20Documents\&#45348;&#51060;&#53944;&#50728;%20&#48155;&#51008;%20&#54028;&#51068;\&#51060;&#44163;&#51200;&#44163;\&#50689;&#54868;%20DB\&#51060;&#44163;&#51200;&#44163;\&#50689;&#54868;%20DB\&#50689;&#54868;%20DB\&#50689;&#54868;%20DB\(DMC)2010&#45380;%20&#50689;&#54868;%20&#47588;&#52404;&#48708;%20&#48143;%20CTR%20&#53685;&#54633;%20D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nhn\&#48148;&#53461;%20&#54868;&#47732;\200611_&#54616;&#45208;TPS_ver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iskstation\02_&#48120;&#46356;&#50612;&#49324;&#50629;&#48512;\Documents%20and%20Settings\nhn\&#48148;&#53461;%20&#54868;&#47732;\NHN.Media%20Proposal.nhn..06&#45380;%2012&#5090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0865;&#51652;\&#44277;&#50976;\PC\97BUDGET\&#52509;&#44288;&#47532;&#487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min\Desktop\(DMC)2010&#45380;%20&#50689;&#54868;%20&#47588;&#52404;&#48708;%20&#48143;%20CTR%20&#53685;&#54633;%20DB_10&#509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35.170.23\Documents%20and%20Settings\Administrator\Local%20Settings\Temporary%20Internet%20Files\Content.Outlook\JFFXR06E\2010&#45380;&#54032;&#47588;&#51221;&#52293;\PrePlay\2010&#45380;%20&#54032;&#47588;&#51221;&#52293;_04_121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Lod12\247server\&#49324;&#54924;\Synad\&#44305;&#44256;&#51652;&#54665;&#49345;&#54889;\Accumulated%20Performance%20Data_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VEGAS\doc\KINMU\XLS\&#26085;&#39640;\&#21220;&#24608;&#34920;&#26085;&#39640;001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21.124.154.3\2013&#45380;\5&#48376;&#48512;\03.%20&#50689;&#54868;&#51088;&#47308;\03.&#44305;&#44256;&#48708;\&#50689;&#54868;&#47588;&#52404;&#48708;_2010_2011_2012_2013_062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92.168.0.250\Users\Administrator\AppData\Local\Microsoft\Windows\Temporary%20Internet%20Files\Content.Outlook\PPWLRWUO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51060;&#49440;&#54868;\&#48148;&#53461;%20&#54868;&#47732;\NHN.Media%20Proposal.nhn.ver1.5.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47928;&#50689;\Local%20Settings\Temporary%20Internet%20Files\OLK42\Documents%20and%20Settings\nhn\My%20Documents\&#47588;&#52404;%20&#51228;&#50504;&#49436;\NHN.Media%20Proposal.nhn.ver1.5.1215(06.11&#50900;&#44592;&#51456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060;&#49440;&#54868;\&#48148;&#53461;%20&#54868;&#47732;\NHN.Media%20Proposal.nhn.ver1.5.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apture1\AppData\Roaming\Microsoft\Excel\Users\&#48149;&#51221;&#50980;\Documents\nasmedia%20messenger%20&#48155;&#51008;%20&#54028;&#51068;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9-1차이내역"/>
      <sheetName val="#REF"/>
      <sheetName val="Sheet1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Sheet3"/>
      <sheetName val="총광고비별순위200901-09 1 "/>
      <sheetName val="Sheet2"/>
      <sheetName val="2"/>
      <sheetName val="간이연락"/>
      <sheetName val="B-III"/>
      <sheetName val="CALENDAR"/>
      <sheetName val="가격표"/>
      <sheetName val="예산계획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캔개발배경"/>
      <sheetName val="캔판매목표"/>
      <sheetName val="시장"/>
      <sheetName val="손익"/>
      <sheetName val="일정표"/>
      <sheetName val="Analysis"/>
      <sheetName val="4월자금"/>
      <sheetName val=""/>
      <sheetName val="20년06월"/>
      <sheetName val="20년07월"/>
      <sheetName val="20년08월 "/>
      <sheetName val="20년09월"/>
      <sheetName val="20년10월"/>
      <sheetName val="20년11월"/>
      <sheetName val="20년12월"/>
      <sheetName val="운행안(이채널)"/>
      <sheetName val="상품명(지우지말것)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합계"/>
      <sheetName val="IO&amp;GL"/>
      <sheetName val="다음"/>
      <sheetName val="조인스MSN"/>
      <sheetName val="Daum"/>
      <sheetName val="2010년 Movie DB"/>
      <sheetName val="페이스북 모바일 DA 요약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Accumulated Performance Data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송파-하이스트 (예정)"/>
    </sheetNames>
    <definedNames>
      <definedName name="eee"/>
      <definedName name="f"/>
      <definedName name="fdafdas"/>
      <definedName name="main"/>
      <definedName name="mnet"/>
      <definedName name="ppt"/>
      <definedName name="qqq"/>
      <definedName name="RTE"/>
      <definedName name="가나" refersTo="#REF!"/>
      <definedName name="관리비근거" refersTo="#REF!"/>
      <definedName name="넥스투어" refersTo="#REF!"/>
      <definedName name="ㄷㄷㄷ" refersTo="#REF!"/>
      <definedName name="드라마" refersTo="#REF!"/>
      <definedName name="ㅂㅂㅂ" refersTo="#REF!"/>
      <definedName name="ㅂㅂㅂㅂ" refersTo="#REF!"/>
      <definedName name="본부" refersTo="#REF!"/>
      <definedName name="상수" refersTo="#REF!"/>
      <definedName name="서초1" refersTo="#REF!"/>
      <definedName name="서초5" refersTo="#REF!"/>
      <definedName name="수금계획" refersTo="#REF!"/>
      <definedName name="스포" refersTo="#REF!"/>
      <definedName name="스핀브러" refersTo="#REF!"/>
      <definedName name="스핀브러쉬" refersTo="#REF!"/>
      <definedName name="위스퍼그린" refersTo="#REF!"/>
      <definedName name="ㅋㅋㅋ" refersTo="#REF!"/>
      <definedName name="큐시트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cmpt2"/>
      <sheetName val="laroux"/>
      <sheetName val="Sheet2"/>
      <sheetName val="Sheet1"/>
      <sheetName val="TV_Billing1"/>
      <sheetName val="한국피앤지(3)"/>
      <sheetName val="한국피앤지"/>
      <sheetName val="한국피앤지 (2)"/>
      <sheetName val="KOBACO"/>
      <sheetName val="Cll Rpt"/>
      <sheetName val="#cmpt1"/>
      <sheetName val="#Budget"/>
      <sheetName val="#Budget (2)"/>
      <sheetName val="Bonus Index"/>
      <sheetName val="Bonus"/>
      <sheetName val="#Buying Brf"/>
      <sheetName val="Bgt Apprvl"/>
      <sheetName val="R&amp;F Forecast"/>
      <sheetName val="코드"/>
      <sheetName val="9801"/>
      <sheetName val="P&amp;G907 BGTM"/>
      <sheetName val="보증금"/>
      <sheetName val="Lead"/>
      <sheetName val="4.경비 5.영업외수지"/>
      <sheetName val="4월"/>
      <sheetName val="광고판매(2010년 1월)"/>
      <sheetName val="광고판매(2010년 2월)"/>
      <sheetName val="12월(시급반영)"/>
      <sheetName val="2010년1월(시급반영)"/>
      <sheetName val="소비자가"/>
      <sheetName val="ML"/>
      <sheetName val="한국피앤지_(2)"/>
      <sheetName val="Cll_Rpt"/>
      <sheetName val="#Budget_(2)"/>
      <sheetName val="Bonus_Index"/>
      <sheetName val="#Buying_Brf"/>
      <sheetName val="Bgt_Apprvl"/>
      <sheetName val="R&amp;F_Forecast"/>
      <sheetName val="4_경비_5_영업외수지"/>
      <sheetName val="P&amp;G907_BGTM"/>
      <sheetName val="광고판매(2010년_1월)"/>
      <sheetName val="광고판매(2010년_2월)"/>
      <sheetName val="Import"/>
      <sheetName val=" 견적서"/>
      <sheetName val="별첨4_전담운영PM(1)"/>
      <sheetName val="주간남10대순위1"/>
      <sheetName val="주간남20대순위1"/>
      <sheetName val="주간남30대순위1"/>
      <sheetName val="주간남40대순위1"/>
      <sheetName val="주간남4세순위1"/>
      <sheetName val="주간남50대순위1"/>
      <sheetName val="주간여10대순위1"/>
      <sheetName val="주간여20대순위1"/>
      <sheetName val="주간여30대순위1"/>
      <sheetName val="주간여40대순위1"/>
      <sheetName val="주간여4세순위1"/>
      <sheetName val="주간여50대순위1"/>
      <sheetName val="채권(하반기)"/>
      <sheetName val="DB"/>
      <sheetName val="#REF"/>
      <sheetName val="98종합"/>
      <sheetName val="전체현황"/>
      <sheetName val="유통망계획"/>
      <sheetName val="항목정리 (3)"/>
      <sheetName val="MediaMix"/>
      <sheetName val="Gen Assumptions"/>
      <sheetName val="Analysis"/>
      <sheetName val="차수"/>
      <sheetName val="생산"/>
      <sheetName val="한계원가"/>
      <sheetName val="ROV_Analysis"/>
      <sheetName val="1.2 IS-BS assumptions"/>
      <sheetName val="DATA"/>
      <sheetName val="Configuration"/>
      <sheetName val="JournalSummary"/>
      <sheetName val="대차대조표"/>
      <sheetName val="Staff Cost"/>
      <sheetName val="XL4Poppy"/>
      <sheetName val="REF"/>
      <sheetName val="Calc"/>
      <sheetName val="미지급이자(분쟁대상)"/>
      <sheetName val="PR Upside"/>
      <sheetName val="BD TY"/>
      <sheetName val="memo"/>
      <sheetName val="Rental"/>
      <sheetName val="간이연락"/>
      <sheetName val="방송부문 월별실적 관리_방송글로벌_v0403.xlsx"/>
      <sheetName val="Revenue"/>
      <sheetName val="Input"/>
      <sheetName val="Comps"/>
      <sheetName val="PTR台손익"/>
      <sheetName val="Macro1"/>
      <sheetName val="Prices"/>
      <sheetName val="운행안(이채널)"/>
      <sheetName val="엔미즈_코리아"/>
      <sheetName val="CHECK"/>
      <sheetName val="Code"/>
      <sheetName val="원본"/>
      <sheetName val="차액보증"/>
      <sheetName val="เงินกู้ธนชาติ"/>
      <sheetName val="เงินกู้ MGC"/>
      <sheetName val="FRECEFECBAILEYS"/>
      <sheetName val="한국피앤지_(2)1"/>
      <sheetName val="전체단가표"/>
      <sheetName val="점공통경비배부"/>
      <sheetName val="세부예산"/>
      <sheetName val="1-2"/>
      <sheetName val="지급예정표(10일현금)"/>
      <sheetName val="ACT"/>
      <sheetName val="부서별(배부후)_계획"/>
      <sheetName val="Cover"/>
      <sheetName val="기본 raw 판 (7개 타겟)_old"/>
      <sheetName val="한국피앤지_(2)2"/>
      <sheetName val="Cll_Rpt1"/>
      <sheetName val="#Budget_(2)1"/>
      <sheetName val="Bonus_Index1"/>
      <sheetName val="#Buying_Brf1"/>
      <sheetName val="Bgt_Apprvl1"/>
      <sheetName val="R&amp;F_Forecast1"/>
      <sheetName val="P&amp;G907_BGTM1"/>
      <sheetName val="4_경비_5_영업외수지1"/>
      <sheetName val="광고판매(2010년_1월)1"/>
      <sheetName val="광고판매(2010년_2월)1"/>
      <sheetName val="_견적서"/>
      <sheetName val="항목정리_(3)"/>
      <sheetName val="Gen_Assumptions"/>
      <sheetName val="1_2_IS-BS_assumptions"/>
      <sheetName val="PR_Upside"/>
      <sheetName val="BD_TY"/>
      <sheetName val="Staff_Cost"/>
      <sheetName val="방송부문_월별실적_관리_방송글로벌_v0403_xlsx"/>
      <sheetName val="เงินกู้_MGC"/>
      <sheetName val="한국피앤지_(2)3"/>
      <sheetName val="Cll_Rpt2"/>
      <sheetName val="#Budget_(2)2"/>
      <sheetName val="Bonus_Index2"/>
      <sheetName val="#Buying_Brf2"/>
      <sheetName val="Bgt_Apprvl2"/>
      <sheetName val="R&amp;F_Forecast2"/>
      <sheetName val="P&amp;G907_BGTM2"/>
      <sheetName val="4_경비_5_영업외수지2"/>
      <sheetName val="광고판매(2010년_1월)2"/>
      <sheetName val="광고판매(2010년_2월)2"/>
      <sheetName val="_견적서1"/>
      <sheetName val="항목정리_(3)1"/>
      <sheetName val="Gen_Assumptions1"/>
      <sheetName val="1_2_IS-BS_assumptions1"/>
      <sheetName val="Staff_Cost1"/>
      <sheetName val="PR_Upside1"/>
      <sheetName val="BD_TY1"/>
      <sheetName val="방송부문_월별실적_관리_방송글로벌_v0403_xlsx1"/>
      <sheetName val="เงินกู้_MGC1"/>
      <sheetName val="Backup"/>
      <sheetName val="Cover Estimator"/>
      <sheetName val="Prime 비중"/>
      <sheetName val="Premium Position"/>
      <sheetName val="P&amp;G907_BGTM3"/>
      <sheetName val="Cll_Rpt3"/>
      <sheetName val="#Budget_(2)3"/>
      <sheetName val="Bonus_Index3"/>
      <sheetName val="#Buying_Brf3"/>
      <sheetName val="Bgt_Apprvl3"/>
      <sheetName val="R&amp;F_Forecast3"/>
      <sheetName val="4_경비_5_영업외수지3"/>
      <sheetName val="광고판매(2010년_1월)3"/>
      <sheetName val="광고판매(2010년_2월)3"/>
      <sheetName val="_견적서2"/>
      <sheetName val="항목정리_(3)2"/>
      <sheetName val="Gen_Assumptions2"/>
      <sheetName val="1_2_IS-BS_assumptions2"/>
      <sheetName val="Staff_Cost2"/>
      <sheetName val="PR_Upside2"/>
      <sheetName val="BD_TY2"/>
      <sheetName val="방송부문_월별실적_관리_방송글로벌_v0403_xlsx2"/>
      <sheetName val="เงินกู้_MGC2"/>
      <sheetName val="월별"/>
      <sheetName val="96제조"/>
      <sheetName val="기본"/>
      <sheetName val="기본_raw_판_(7개_타겟)_old"/>
      <sheetName val="Cover_Estimator"/>
      <sheetName val="한국피앤지_(2)4"/>
      <sheetName val="Cll_Rpt4"/>
      <sheetName val="#Budget_(2)4"/>
      <sheetName val="Bonus_Index4"/>
      <sheetName val="#Buying_Brf4"/>
      <sheetName val="Bgt_Apprvl4"/>
      <sheetName val="R&amp;F_Forecast4"/>
      <sheetName val="P&amp;G907_BGTM4"/>
      <sheetName val="4_경비_5_영업외수지4"/>
      <sheetName val="광고판매(2010년_1월)4"/>
      <sheetName val="광고판매(2010년_2월)4"/>
      <sheetName val="_견적서3"/>
      <sheetName val="항목정리_(3)3"/>
      <sheetName val="Gen_Assumptions3"/>
      <sheetName val="1_2_IS-BS_assumptions3"/>
      <sheetName val="PR_Upside3"/>
      <sheetName val="BD_TY3"/>
      <sheetName val="Staff_Cost3"/>
      <sheetName val="방송부문_월별실적_관리_방송글로벌_v0403_xlsx3"/>
      <sheetName val="เงินกู้_MGC3"/>
      <sheetName val="Prime_비중"/>
      <sheetName val="Premium_Position"/>
      <sheetName val="보고"/>
      <sheetName val="신대방33(적용)"/>
      <sheetName val="제작가이드(10월)"/>
      <sheetName val="55% and 70%"/>
      <sheetName val="Creative Guide"/>
      <sheetName val="MediaMix_G마켓"/>
      <sheetName val="PRC-TV (0)"/>
      <sheetName val="GDP"/>
      <sheetName val="Pluri Media"/>
      <sheetName val="전체실적"/>
      <sheetName val="아프리카TV"/>
      <sheetName val="카테고리 분류"/>
      <sheetName val="YOEMAGUM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실"/>
      <sheetName val="가격검토"/>
      <sheetName val="추가예산"/>
      <sheetName val="Import"/>
      <sheetName val="유통조직현황"/>
      <sheetName val="구분"/>
      <sheetName val="MOLOCO_RAW"/>
      <sheetName val="HBOSubRev"/>
      <sheetName val="Tabelas"/>
      <sheetName val="합계잔액시산표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media_mix"/>
      <sheetName val="마리프랑스_12월_추가"/>
      <sheetName val="엔미즈_코리아"/>
      <sheetName val="Reach"/>
      <sheetName val="Plan"/>
      <sheetName val="media_mix1"/>
      <sheetName val="마리프랑스_12월_추가1"/>
      <sheetName val="TOTAL WE PBC"/>
      <sheetName val="SF1 L"/>
      <sheetName val="SF1 O"/>
      <sheetName val="media_mix2"/>
      <sheetName val="마리프랑스_12월_추가2"/>
      <sheetName val="MOLOCO_RAW"/>
      <sheetName val="Tapgoy_RAW"/>
      <sheetName val="손익"/>
      <sheetName val="양식3"/>
      <sheetName val="flatpricebycountry"/>
      <sheetName val="slopes"/>
      <sheetName val="원본"/>
      <sheetName val="TOTAL_WE_PBC"/>
      <sheetName val="SF1_L"/>
      <sheetName val="SF1_O"/>
      <sheetName val="배부전"/>
      <sheetName val="Graph"/>
      <sheetName val="DB"/>
      <sheetName val="월간일정표"/>
      <sheetName val="합계잔액시산표"/>
      <sheetName val="구분"/>
      <sheetName val="항목정리 (3)"/>
      <sheetName val="업무연락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2"/>
      <sheetName val="개발실"/>
      <sheetName val="최종리포트"/>
      <sheetName val="홈엔"/>
      <sheetName val="hide"/>
      <sheetName val="캔개발배경"/>
      <sheetName val="시장"/>
      <sheetName val="일정표"/>
      <sheetName val="初期値"/>
      <sheetName val="2010년 Movie DB"/>
      <sheetName val="E채널"/>
      <sheetName val="제안"/>
      <sheetName val="w2544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  <sheetName val="Plan"/>
      <sheetName val="커스텀 타겟팅 리스트"/>
      <sheetName val="전체단가표"/>
      <sheetName val="개요"/>
      <sheetName val="마케팅"/>
      <sheetName val="목차"/>
      <sheetName val="추정손익"/>
      <sheetName val="실적"/>
      <sheetName val="원가"/>
      <sheetName val="원가,목표"/>
      <sheetName val="판매"/>
      <sheetName val="판촉"/>
      <sheetName val="커스텀_타겟팅_리스트"/>
      <sheetName val="R&amp;D"/>
      <sheetName val="pr34"/>
      <sheetName val="ꠀ짜4"/>
      <sheetName val="중간감사결과보고"/>
      <sheetName val="Macro1"/>
      <sheetName val="SF1 L"/>
      <sheetName val="SF1 O"/>
      <sheetName val="백데이터"/>
      <sheetName val="조정전"/>
      <sheetName val="Rental"/>
      <sheetName val="교통대책내역"/>
      <sheetName val="월별일수"/>
      <sheetName val="무형자산명세"/>
      <sheetName val="SAM"/>
      <sheetName val="쌀음료품의서"/>
      <sheetName val="Sheet12"/>
      <sheetName val="Sheet1"/>
      <sheetName val="15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1">
          <cell r="A1" t="str">
            <v>7. 손익계산서 (99년~2000년)</v>
          </cell>
        </row>
        <row r="2">
          <cell r="A2" t="str">
            <v>개발 일정표 (180㎖ 소병 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구       분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  <cell r="P5" t="str">
            <v>10月</v>
          </cell>
          <cell r="Z5" t="str">
            <v>11月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 t="str">
            <v>5일</v>
          </cell>
          <cell r="E6">
            <v>100</v>
          </cell>
          <cell r="F6">
            <v>23813.63636363636</v>
          </cell>
          <cell r="G6">
            <v>100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 t="str">
            <v>10日(개발계획 수립/결재완료)</v>
          </cell>
        </row>
        <row r="9">
          <cell r="A9" t="str">
            <v>1.사업계획</v>
          </cell>
          <cell r="B9">
            <v>10375.092000000001</v>
          </cell>
          <cell r="C9">
            <v>55.739200000000011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 t="str">
            <v>9日(연구소 스팩통보)</v>
          </cell>
          <cell r="G10">
            <v>45.198054590570706</v>
          </cell>
        </row>
        <row r="11">
          <cell r="A11" t="str">
            <v>2.스    팩</v>
          </cell>
          <cell r="B11">
            <v>8128.427272727271</v>
          </cell>
          <cell r="C11">
            <v>43.669206349206348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  <cell r="I12" t="str">
            <v>11日(품목신고완료)</v>
          </cell>
        </row>
        <row r="13">
          <cell r="A13" t="str">
            <v>3.품목신고</v>
          </cell>
          <cell r="B13">
            <v>4467.2727272727261</v>
          </cell>
          <cell r="C13">
            <v>24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>4.원부자재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  <sheetName val="캔개발배경"/>
      <sheetName val="경쟁사가격"/>
      <sheetName val="캔판매목표"/>
      <sheetName val="시장"/>
      <sheetName val="손익"/>
      <sheetName val="일정표"/>
      <sheetName val="E채널"/>
      <sheetName val="전체단가표"/>
      <sheetName val="n賃率-職"/>
      <sheetName val="Graph"/>
      <sheetName val="엔미즈_코리아"/>
      <sheetName val="Sheet2"/>
      <sheetName val="Naver"/>
      <sheetName val="RT.Mon."/>
      <sheetName val="頻道"/>
      <sheetName val="O_CA3 (25)"/>
      <sheetName val="O_CA3 (26)"/>
      <sheetName val="O_CA3 (7)"/>
      <sheetName val="O_CA3 (31)"/>
      <sheetName val="O_CA2 (25)"/>
      <sheetName val="O_CA2 (26)"/>
      <sheetName val="O_CA2 (7)"/>
      <sheetName val="O_CA2 (31)"/>
      <sheetName val="O_CA1 (25)"/>
      <sheetName val="O_CA1 (26)"/>
      <sheetName val="O_CA1 (7)"/>
      <sheetName val="O_CA1 (31)"/>
      <sheetName val="CodeMaster"/>
      <sheetName val="Facebook業界・業種"/>
      <sheetName val="RFP Worksheet"/>
      <sheetName val="중간감사결과보고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rt BIG AD_9월+10월+11월 큐시트"/>
      <sheetName val="ART_9월+10월+11월 큐시트"/>
      <sheetName val="ARA_큐시트(1개월 기준)"/>
      <sheetName val="ARA_큐시트_상세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월간일정표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2010년 라인업"/>
      <sheetName val="전체단가표"/>
      <sheetName val="2010년_라인업"/>
      <sheetName val="별도가이드"/>
      <sheetName val="엔미즈_코리아"/>
      <sheetName val="합계잔액시산표"/>
      <sheetName val="구분"/>
      <sheetName val="Sheet2"/>
      <sheetName val="Graph"/>
      <sheetName val="SO416"/>
      <sheetName val="양식3"/>
      <sheetName val="Analysis"/>
      <sheetName val="월간"/>
      <sheetName val="전체실적"/>
      <sheetName val="CGV"/>
      <sheetName val="ART_9월+10월+11월 큐시트"/>
      <sheetName val="E채널"/>
      <sheetName val="조정전"/>
      <sheetName val="MediaMix"/>
    </sheetNames>
    <sheetDataSet>
      <sheetData sheetId="0" refreshError="1"/>
      <sheetData sheetId="1" refreshError="1">
        <row r="2">
          <cell r="B2">
            <v>2004</v>
          </cell>
          <cell r="E2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  <sheetName val="#REF"/>
      <sheetName val="재료율"/>
      <sheetName val="HP1AMLIST"/>
      <sheetName val="Macro1"/>
      <sheetName val="계열사현황종합"/>
      <sheetName val="진도현황"/>
      <sheetName val="생산"/>
      <sheetName val="지점장"/>
      <sheetName val="쌀음료품의서"/>
      <sheetName val="양식(직판용)"/>
      <sheetName val="Import"/>
      <sheetName val="pr34"/>
      <sheetName val="대외공문"/>
      <sheetName val="실적"/>
      <sheetName val="품종별월계"/>
      <sheetName val="외주가공비0109"/>
      <sheetName val="회사정보"/>
      <sheetName val="Sheet1"/>
      <sheetName val="시험결과"/>
      <sheetName val="입사자료"/>
      <sheetName val="승진대상자"/>
      <sheetName val="탄산"/>
      <sheetName val="월별일수"/>
      <sheetName val="본문"/>
      <sheetName val="개요"/>
      <sheetName val="마케팅"/>
      <sheetName val="목차"/>
      <sheetName val="추정손익"/>
      <sheetName val="원가"/>
      <sheetName val="원가,목표"/>
      <sheetName val="판매"/>
      <sheetName val="판촉"/>
      <sheetName val="원본"/>
      <sheetName val="96월별PL"/>
      <sheetName val="구분"/>
      <sheetName val="0111"/>
      <sheetName val="추정1안계획1,2,3안"/>
      <sheetName val="BS"/>
      <sheetName val="별도가이드"/>
      <sheetName val="70%"/>
      <sheetName val="환율"/>
      <sheetName val="(실사조정)총괄"/>
      <sheetName val="FRDS9805"/>
      <sheetName val="단가산출"/>
      <sheetName val="갑지"/>
      <sheetName val="집계표"/>
      <sheetName val="단가"/>
      <sheetName val="대총괄표"/>
      <sheetName val="Sheet12"/>
      <sheetName val="데이타"/>
      <sheetName val="1~5월"/>
      <sheetName val="1~9월"/>
      <sheetName val="원가계산서 "/>
      <sheetName val="견적서"/>
      <sheetName val="단가표(2006)"/>
      <sheetName val="표준도급비(2006)"/>
      <sheetName val="work"/>
      <sheetName val="문화센터"/>
      <sheetName val="세금계산서DB"/>
      <sheetName val="주말캐셔 펀칭수"/>
      <sheetName val="AS"/>
      <sheetName val="능력태도평가DB"/>
      <sheetName val="기준9801"/>
      <sheetName val="비교9701"/>
      <sheetName val="DATA(2009판매)"/>
      <sheetName val="부서"/>
      <sheetName val="npv"/>
      <sheetName val="원본가중수1-2"/>
      <sheetName val="970721"/>
      <sheetName val="판매사원 입력2"/>
      <sheetName val="자판"/>
      <sheetName val="위스키3"/>
      <sheetName val="주류전체2"/>
      <sheetName val="당년실적"/>
      <sheetName val="출납장"/>
      <sheetName val="순매출액"/>
      <sheetName val="금관"/>
      <sheetName val="백화"/>
      <sheetName val="data"/>
      <sheetName val="Lists"/>
      <sheetName val="노무비"/>
      <sheetName val="기계경비(시간당)"/>
      <sheetName val="램머"/>
      <sheetName val="축종별판매량"/>
      <sheetName val="대차대조"/>
      <sheetName val="cctv"/>
      <sheetName val="개발실"/>
      <sheetName val=" 작업 공수 산출.xlsx"/>
      <sheetName val="엔미즈_코리아"/>
      <sheetName val="sorting_R&amp;F"/>
      <sheetName val="산출기준(파견전산실)"/>
      <sheetName val="9567매출"/>
      <sheetName val="04부품"/>
      <sheetName val="참고"/>
      <sheetName val="주소"/>
      <sheetName val="FF시장분석 (3)"/>
      <sheetName val="그리들"/>
      <sheetName val="출자한도"/>
      <sheetName val="9월"/>
      <sheetName val="칙촉"/>
      <sheetName val="생산금액_중량"/>
      <sheetName val="98생산중량"/>
      <sheetName val="설계명세서"/>
      <sheetName val="품셈표"/>
      <sheetName val="2010년 Movie DB"/>
      <sheetName val="월간일정표"/>
      <sheetName val="계정"/>
      <sheetName val="ꠀ짜4"/>
      <sheetName val="A7.원가_판가"/>
      <sheetName val="list price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  <cell r="AG6">
            <v>0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개발 일정표 (180㎖ 소병 )</v>
          </cell>
        </row>
      </sheetData>
      <sheetData sheetId="8" refreshError="1"/>
      <sheetData sheetId="9">
        <row r="2">
          <cell r="B2" t="str">
            <v>5-2. 판매목표 (1999.10월 ~ 2000년)</v>
          </cell>
        </row>
      </sheetData>
      <sheetData sheetId="10" refreshError="1"/>
      <sheetData sheetId="11" refreshError="1"/>
      <sheetData sheetId="12" refreshError="1"/>
      <sheetData sheetId="13">
        <row r="1">
          <cell r="A1" t="str">
            <v>7. 손익계산서 (99년~2000년)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개요"/>
      <sheetName val="표지"/>
      <sheetName val="전담운영PM"/>
      <sheetName val="장비전산준비"/>
      <sheetName val="도크현황"/>
      <sheetName val="1운영pm(상세)"/>
      <sheetName val="2전산등록업무지침"/>
      <sheetName val="3영업사원준수사항"/>
      <sheetName val="4미배송처리"/>
      <sheetName val="5미회수페널티"/>
      <sheetName val="6반품취소양식"/>
      <sheetName val="7핸디메뉴얼"/>
      <sheetName val="8집배송운행일지"/>
      <sheetName val="9배송실적"/>
      <sheetName val="10반품실적"/>
      <sheetName val="11회수현황"/>
      <sheetName val="12전담마감1"/>
      <sheetName val="VXX"/>
      <sheetName val="캔개발배경"/>
      <sheetName val="시장"/>
      <sheetName val="일정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년 Movie DB"/>
      <sheetName val="2010년 Movie DB"/>
      <sheetName val="캔개발배경"/>
      <sheetName val="시장"/>
      <sheetName val="일정표"/>
      <sheetName val="2011년_Movie_DB"/>
      <sheetName val="2010년_Movie_DB"/>
      <sheetName val="엔미즈_코리아"/>
      <sheetName val="별도가이드"/>
      <sheetName val="2011년_Movie_DB1"/>
      <sheetName val="2010년_Movie_DB1"/>
      <sheetName val="BM코드"/>
      <sheetName val="카테고리 분류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띠배너"/>
      <sheetName val="MAN 전면배너"/>
      <sheetName val="MAN 띠+전면"/>
      <sheetName val="M-play 동영상"/>
      <sheetName val="MAN 엣지팝"/>
      <sheetName val="MAN 전면팝"/>
      <sheetName val="MAN&amp;M-play 대표매체리스트"/>
      <sheetName val="h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B15" t="str">
            <v xml:space="preserve">     </v>
          </cell>
        </row>
        <row r="16">
          <cell r="B16" t="str">
            <v>시간</v>
          </cell>
        </row>
        <row r="17">
          <cell r="B17" t="str">
            <v>요일</v>
          </cell>
        </row>
        <row r="18">
          <cell r="B18" t="str">
            <v>iOS</v>
          </cell>
        </row>
        <row r="19">
          <cell r="B19" t="str">
            <v>매체 카테고리</v>
          </cell>
        </row>
        <row r="20">
          <cell r="B20" t="str">
            <v>비디오 카테고리</v>
          </cell>
        </row>
        <row r="21">
          <cell r="B21" t="str">
            <v>통신사</v>
          </cell>
        </row>
        <row r="22">
          <cell r="B22" t="str">
            <v>Freq.</v>
          </cell>
        </row>
        <row r="23">
          <cell r="B23" t="str">
            <v>제조사</v>
          </cell>
        </row>
        <row r="24">
          <cell r="B24" t="str">
            <v>OS 버전</v>
          </cell>
        </row>
        <row r="25">
          <cell r="B25" t="str">
            <v>기기</v>
          </cell>
        </row>
        <row r="26">
          <cell r="B26" t="str">
            <v>관심사</v>
          </cell>
        </row>
        <row r="27">
          <cell r="B27" t="str">
            <v>페이지 리타겟팅</v>
          </cell>
        </row>
        <row r="28">
          <cell r="B28" t="str">
            <v>ADID 타겟팅</v>
          </cell>
        </row>
        <row r="29">
          <cell r="B29" t="str">
            <v>개별 매체 타겟팅</v>
          </cell>
        </row>
        <row r="30">
          <cell r="B30" t="str">
            <v>앱타겟팅</v>
          </cell>
        </row>
        <row r="31">
          <cell r="B31" t="str">
            <v>뉴스/미디어 단일 카테고리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hide"/>
      <sheetName val="2010년_Movie_DB"/>
      <sheetName val="2010년_라인업"/>
      <sheetName val="2010년_주요지면_Imp"/>
      <sheetName val="2010년_주요지면_Click"/>
      <sheetName val="채널"/>
      <sheetName val="2010년_Movie_DB1"/>
      <sheetName val="2010년_라인업1"/>
      <sheetName val="2010년_주요지면_Imp1"/>
      <sheetName val="2010년_주요지면_Click1"/>
      <sheetName val="년별RTMP"/>
      <sheetName val="2010년_Movie_DB2"/>
      <sheetName val="2010년_라인업2"/>
      <sheetName val="2010년_주요지면_Imp2"/>
      <sheetName val="2010년_주요지면_Click2"/>
      <sheetName val="전체단가표"/>
      <sheetName val="2011년 Movie DB"/>
      <sheetName val="Graph"/>
      <sheetName val="진학사매체리스트"/>
      <sheetName val="#REF"/>
      <sheetName val="종합표"/>
      <sheetName val="캠페인_일별리포트"/>
      <sheetName val="이자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홈엔"/>
      <sheetName val="전체단가표"/>
      <sheetName val="가이드모음"/>
      <sheetName val="게재지면캡쳐"/>
      <sheetName val="사용방법"/>
      <sheetName val="하나TPS_6000만원"/>
      <sheetName val="견적서"/>
      <sheetName val="기타"/>
      <sheetName val="용역단가기준"/>
    </sheetNames>
    <sheetDataSet>
      <sheetData sheetId="0" refreshError="1">
        <row r="2">
          <cell r="B2" t="str">
            <v>Media MIX</v>
          </cell>
        </row>
        <row r="4">
          <cell r="B4" t="str">
            <v xml:space="preserve">▣ 광  고  주 </v>
          </cell>
          <cell r="C4" t="str">
            <v>KT 홈엔</v>
          </cell>
        </row>
        <row r="5">
          <cell r="B5" t="str">
            <v>▣ 광고 기간</v>
          </cell>
          <cell r="C5" t="str">
            <v>7월~8월 (2개월)</v>
          </cell>
        </row>
        <row r="6">
          <cell r="B6" t="str">
            <v>▣ 기타사항</v>
          </cell>
          <cell r="C6" t="str">
            <v>10대 및 20~30대</v>
          </cell>
        </row>
        <row r="8">
          <cell r="B8" t="str">
            <v>&lt;제안 내역&gt;</v>
          </cell>
        </row>
        <row r="10">
          <cell r="B10" t="str">
            <v>매체</v>
          </cell>
          <cell r="C10" t="str">
            <v>게재 위치</v>
          </cell>
          <cell r="D10" t="str">
            <v>사이즈</v>
          </cell>
          <cell r="E10" t="str">
            <v>용량</v>
          </cell>
          <cell r="F10" t="str">
            <v>기간</v>
          </cell>
        </row>
        <row r="11">
          <cell r="B11" t="str">
            <v>네이버</v>
          </cell>
          <cell r="C11" t="str">
            <v>탑배너</v>
          </cell>
          <cell r="D11" t="str">
            <v>390*100</v>
          </cell>
          <cell r="E11" t="str">
            <v>130K</v>
          </cell>
          <cell r="F11" t="str">
            <v>7주(월~일)</v>
          </cell>
        </row>
        <row r="12">
          <cell r="C12" t="str">
            <v>뉴스 서브면</v>
          </cell>
          <cell r="D12" t="str">
            <v>240*240</v>
          </cell>
          <cell r="E12" t="str">
            <v>130K</v>
          </cell>
          <cell r="F12" t="str">
            <v>기간내</v>
          </cell>
        </row>
        <row r="13">
          <cell r="C13" t="str">
            <v>뉴스 기사내 배너</v>
          </cell>
          <cell r="D13" t="str">
            <v>240*240</v>
          </cell>
          <cell r="E13" t="str">
            <v>130K</v>
          </cell>
          <cell r="F13" t="str">
            <v>기간내</v>
          </cell>
        </row>
        <row r="14">
          <cell r="C14" t="str">
            <v>지식인 서브면</v>
          </cell>
          <cell r="D14" t="str">
            <v>240*240</v>
          </cell>
          <cell r="E14" t="str">
            <v>130K</v>
          </cell>
          <cell r="F14" t="str">
            <v>기간내</v>
          </cell>
        </row>
        <row r="15">
          <cell r="C15" t="str">
            <v>자료실</v>
          </cell>
          <cell r="D15" t="str">
            <v>350*300</v>
          </cell>
          <cell r="E15" t="str">
            <v>130K</v>
          </cell>
          <cell r="F15" t="str">
            <v>기간내</v>
          </cell>
        </row>
        <row r="16">
          <cell r="C16" t="str">
            <v>빅보드</v>
          </cell>
          <cell r="D16" t="str">
            <v>350*300</v>
          </cell>
          <cell r="E16" t="str">
            <v>130K</v>
          </cell>
          <cell r="F16" t="str">
            <v>기간내</v>
          </cell>
        </row>
        <row r="17">
          <cell r="B17" t="str">
            <v>총 합 계</v>
          </cell>
        </row>
        <row r="20">
          <cell r="B20" t="str">
            <v>※ 배너는 반드시 NHN 광고가이드 http://ad.nhncorp.com/guidelines_02_01.html 에 따라 제작하셔야 합니다.</v>
          </cell>
        </row>
        <row r="21">
          <cell r="B21" t="str">
            <v>※ 집행전 반드시 타겟대상 인벤토리를 재 확인하시기 바랍니다.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2">
          <cell r="A2">
            <v>1</v>
          </cell>
        </row>
      </sheetData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최종리포트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390*100394*310</v>
          </cell>
          <cell r="D11" t="str">
            <v>130K2M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총관리비"/>
      <sheetName val="년별RTMP"/>
      <sheetName val="주간시청률추이"/>
      <sheetName val="9GNG운반"/>
      <sheetName val="Plan"/>
      <sheetName val="유가증권미수"/>
      <sheetName val="생산"/>
      <sheetName val="진도현황"/>
      <sheetName val="7월 (시급반영)"/>
      <sheetName val="4월"/>
      <sheetName val="Import"/>
      <sheetName val="Sheet1"/>
      <sheetName val="지점장"/>
      <sheetName val="Customer Databas"/>
      <sheetName val="4월 (수정)"/>
      <sheetName val="5월 시급 반영"/>
      <sheetName val="5월 편성안"/>
      <sheetName val="Sheet3"/>
      <sheetName val="전담운영PM"/>
      <sheetName val="캔개발배경"/>
      <sheetName val="시장"/>
      <sheetName val="일정표"/>
      <sheetName val="보증금(전신전화가입권)"/>
      <sheetName val="미지급이자(분쟁대상)"/>
      <sheetName val="1월"/>
      <sheetName val="운행안(이채널)"/>
      <sheetName val="Gen Assumptions"/>
      <sheetName val="운행일지"/>
      <sheetName val="지방"/>
      <sheetName val="E채널"/>
      <sheetName val="2010년 Movie DB"/>
      <sheetName val="CHECK"/>
      <sheetName val="Data"/>
      <sheetName val="Analysis"/>
      <sheetName val="전체단가표"/>
      <sheetName val="***********************00"/>
      <sheetName val="품종별월계"/>
      <sheetName val="1~5월"/>
      <sheetName val="1~9월"/>
      <sheetName val="특정대금지급(수시지급포함)"/>
      <sheetName val="특정total(수불0)"/>
      <sheetName val="대차대조표"/>
      <sheetName val="Customer_Databas"/>
      <sheetName val="7월_(시급반영)"/>
      <sheetName val="4월_(수정)"/>
      <sheetName val="5월_시급_반영"/>
      <sheetName val="5월_편성안"/>
      <sheetName val="Gen_Assumptions"/>
      <sheetName val="2010년_Movie_DB"/>
      <sheetName val="Customer_Databas1"/>
      <sheetName val="7월_(시급반영)1"/>
      <sheetName val="4월_(수정)1"/>
      <sheetName val="5월_시급_반영1"/>
      <sheetName val="5월_편성안1"/>
      <sheetName val="Gen_Assumptions1"/>
      <sheetName val="2010년_Movie_DB1"/>
      <sheetName val="엔미즈_코리아"/>
      <sheetName val="7월_(시급반영)2"/>
      <sheetName val="4월_(수정)2"/>
      <sheetName val="5월_시급_반영2"/>
      <sheetName val="5월_편성안2"/>
      <sheetName val="Customer_Databas2"/>
      <sheetName val="Gen_Assumptions2"/>
      <sheetName val="2010년_Movie_DB2"/>
      <sheetName val="관리일지"/>
      <sheetName val="bulk_data"/>
      <sheetName val="기본"/>
      <sheetName val="IC단가(97)"/>
      <sheetName val="형틀공사"/>
      <sheetName val="2010년_Movie_DB3"/>
      <sheetName val="7월_(시급반영)3"/>
      <sheetName val="Customer_Databas3"/>
      <sheetName val="4월_(수정)3"/>
      <sheetName val="5월_시급_반영3"/>
      <sheetName val="5월_편성안3"/>
      <sheetName val="Gen_Assumptions3"/>
      <sheetName val="주간회의"/>
      <sheetName val="단계별"/>
      <sheetName val="유투버"/>
      <sheetName val="컨텐츠"/>
      <sheetName val="티징"/>
      <sheetName val="SNS"/>
      <sheetName val="회사정보"/>
      <sheetName val="달성율"/>
      <sheetName val="평가누계"/>
      <sheetName val="1팀원료재고 "/>
      <sheetName val="1팀재료재고 "/>
      <sheetName val="2팀원료재고"/>
      <sheetName val="2팀재료재고"/>
      <sheetName val="재고표"/>
      <sheetName val="재고표 (2)"/>
      <sheetName val="재료재고 "/>
      <sheetName val="재료발주"/>
      <sheetName val="원료재고"/>
      <sheetName val="원료발주"/>
      <sheetName val="재료재고"/>
      <sheetName val="원료재고조사표"/>
      <sheetName val="재료재고조사표"/>
      <sheetName val="하조.기타재고"/>
      <sheetName val="재공품"/>
      <sheetName val="불출서"/>
      <sheetName val="1팀원료재고조사표(창고)"/>
      <sheetName val="1팀재료재고조사표(창고)"/>
      <sheetName val="1팀하조재고조사표(하조)"/>
      <sheetName val="사업자등록증"/>
      <sheetName val="8월"/>
      <sheetName val="1팀원료재고_"/>
      <sheetName val="1팀재료재고_"/>
      <sheetName val="재고표_(2)"/>
      <sheetName val="재료재고_"/>
      <sheetName val="하조_기타재고"/>
      <sheetName val="판매%&gt;반품%"/>
      <sheetName val="판매%&gt;판취%"/>
      <sheetName val="계획표지"/>
      <sheetName val="상반기투자실적"/>
      <sheetName val="전체계"/>
      <sheetName val="당월금액"/>
      <sheetName val="06실적"/>
      <sheetName val="1팀원료재고_1"/>
      <sheetName val="1팀재료재고_1"/>
      <sheetName val="재고표_(2)1"/>
      <sheetName val="재료재고_1"/>
      <sheetName val="하조_기타재고1"/>
      <sheetName val="#REF"/>
      <sheetName val="(1)2002년 매출목표 산출"/>
      <sheetName val="합실,계(수용,지입)"/>
      <sheetName val="금액집계(리포트)"/>
      <sheetName val="74-75.인력운영계획"/>
      <sheetName val="97년"/>
      <sheetName val="원본"/>
      <sheetName val="hide"/>
      <sheetName val="홈엔"/>
      <sheetName val="①매출"/>
    </sheetNames>
    <sheetDataSet>
      <sheetData sheetId="0" refreshError="1">
        <row r="4">
          <cell r="I4" t="str">
            <v>A000</v>
          </cell>
          <cell r="J4" t="str">
            <v>대표이사실</v>
          </cell>
          <cell r="K4" t="str">
            <v>H</v>
          </cell>
        </row>
        <row r="5">
          <cell r="I5" t="str">
            <v>A010</v>
          </cell>
          <cell r="J5" t="str">
            <v>감사실</v>
          </cell>
          <cell r="K5" t="str">
            <v>H</v>
          </cell>
        </row>
        <row r="6">
          <cell r="I6" t="str">
            <v>A015</v>
          </cell>
          <cell r="J6" t="str">
            <v>임원실</v>
          </cell>
          <cell r="K6" t="str">
            <v>H</v>
          </cell>
        </row>
        <row r="7">
          <cell r="I7" t="str">
            <v>A020</v>
          </cell>
          <cell r="J7" t="str">
            <v>기획조정팀</v>
          </cell>
          <cell r="K7" t="str">
            <v>H</v>
          </cell>
        </row>
        <row r="8">
          <cell r="I8" t="str">
            <v>A021</v>
          </cell>
          <cell r="J8" t="str">
            <v>경영개선팀</v>
          </cell>
          <cell r="K8" t="str">
            <v>H</v>
          </cell>
        </row>
        <row r="9">
          <cell r="I9" t="str">
            <v>A026</v>
          </cell>
          <cell r="J9" t="str">
            <v>법제팀</v>
          </cell>
          <cell r="K9" t="str">
            <v>H</v>
          </cell>
        </row>
        <row r="10">
          <cell r="I10" t="str">
            <v>A030</v>
          </cell>
          <cell r="J10" t="str">
            <v>시스템개발팀</v>
          </cell>
          <cell r="K10" t="str">
            <v>H</v>
          </cell>
        </row>
        <row r="11">
          <cell r="I11" t="str">
            <v>A040</v>
          </cell>
          <cell r="J11" t="str">
            <v>기술연구소</v>
          </cell>
          <cell r="K11" t="str">
            <v>H</v>
          </cell>
        </row>
        <row r="12">
          <cell r="I12" t="str">
            <v>A041</v>
          </cell>
          <cell r="J12" t="str">
            <v>주택품질팀</v>
          </cell>
          <cell r="K12" t="str">
            <v>JD</v>
          </cell>
        </row>
        <row r="13">
          <cell r="I13" t="str">
            <v>A042</v>
          </cell>
          <cell r="J13" t="str">
            <v>일산A/S</v>
          </cell>
          <cell r="K13" t="str">
            <v>JD</v>
          </cell>
        </row>
        <row r="14">
          <cell r="I14" t="str">
            <v>A045</v>
          </cell>
          <cell r="J14" t="str">
            <v>시험실</v>
          </cell>
          <cell r="K14" t="str">
            <v>H</v>
          </cell>
        </row>
        <row r="15">
          <cell r="I15" t="str">
            <v>A050</v>
          </cell>
          <cell r="J15" t="str">
            <v>인력개발팀</v>
          </cell>
          <cell r="K15" t="str">
            <v>H</v>
          </cell>
        </row>
        <row r="16">
          <cell r="I16" t="str">
            <v>A051</v>
          </cell>
          <cell r="J16" t="str">
            <v>기술관리팀</v>
          </cell>
          <cell r="K16" t="str">
            <v>H</v>
          </cell>
        </row>
        <row r="17">
          <cell r="I17" t="str">
            <v>A060</v>
          </cell>
          <cell r="J17" t="str">
            <v>비상계획팀</v>
          </cell>
          <cell r="K17" t="str">
            <v>H</v>
          </cell>
        </row>
        <row r="18">
          <cell r="I18" t="str">
            <v>A070</v>
          </cell>
          <cell r="J18" t="str">
            <v>자금팀</v>
          </cell>
          <cell r="K18" t="str">
            <v>H</v>
          </cell>
        </row>
        <row r="19">
          <cell r="I19" t="str">
            <v>A080</v>
          </cell>
          <cell r="J19" t="str">
            <v>회계팀</v>
          </cell>
          <cell r="K19" t="str">
            <v>H</v>
          </cell>
        </row>
        <row r="20">
          <cell r="I20" t="str">
            <v>A090</v>
          </cell>
          <cell r="J20" t="str">
            <v>자재팀</v>
          </cell>
          <cell r="K20" t="str">
            <v>H</v>
          </cell>
        </row>
        <row r="21">
          <cell r="I21" t="str">
            <v>A100</v>
          </cell>
          <cell r="J21" t="str">
            <v>외주육성팀</v>
          </cell>
          <cell r="K21" t="str">
            <v>H</v>
          </cell>
        </row>
        <row r="22">
          <cell r="I22" t="str">
            <v>A105</v>
          </cell>
          <cell r="J22" t="str">
            <v>안전환경팀</v>
          </cell>
          <cell r="K22" t="str">
            <v>H</v>
          </cell>
        </row>
        <row r="23">
          <cell r="I23" t="str">
            <v>A110</v>
          </cell>
          <cell r="J23" t="str">
            <v>업무추진팀</v>
          </cell>
          <cell r="K23" t="str">
            <v>TI</v>
          </cell>
        </row>
        <row r="24">
          <cell r="I24" t="str">
            <v>A115</v>
          </cell>
          <cell r="J24" t="str">
            <v>부산지사</v>
          </cell>
          <cell r="K24" t="str">
            <v>H</v>
          </cell>
        </row>
        <row r="25">
          <cell r="I25" t="str">
            <v>A130</v>
          </cell>
          <cell r="J25" t="str">
            <v>해외사업팀</v>
          </cell>
          <cell r="K25" t="str">
            <v>FD</v>
          </cell>
        </row>
        <row r="26">
          <cell r="I26" t="str">
            <v>A131</v>
          </cell>
          <cell r="J26" t="str">
            <v>호치민사무소</v>
          </cell>
          <cell r="K26" t="str">
            <v>FD</v>
          </cell>
        </row>
        <row r="27">
          <cell r="I27" t="str">
            <v>A150</v>
          </cell>
          <cell r="J27" t="str">
            <v>영업개발팀</v>
          </cell>
          <cell r="K27" t="str">
            <v>GI</v>
          </cell>
        </row>
        <row r="28">
          <cell r="I28" t="str">
            <v>A151</v>
          </cell>
          <cell r="J28" t="str">
            <v>전주지사</v>
          </cell>
          <cell r="K28" t="str">
            <v>H</v>
          </cell>
        </row>
        <row r="29">
          <cell r="I29" t="str">
            <v>A155</v>
          </cell>
          <cell r="J29" t="str">
            <v>S O C 팀</v>
          </cell>
          <cell r="K29" t="str">
            <v>TD</v>
          </cell>
        </row>
        <row r="30">
          <cell r="I30" t="str">
            <v>A160</v>
          </cell>
          <cell r="J30" t="str">
            <v>주택사업1팀</v>
          </cell>
          <cell r="K30" t="str">
            <v>JD</v>
          </cell>
        </row>
        <row r="31">
          <cell r="I31" t="str">
            <v>A161</v>
          </cell>
          <cell r="J31" t="str">
            <v>주택사업2팀</v>
          </cell>
          <cell r="K31" t="str">
            <v>JD</v>
          </cell>
        </row>
        <row r="32">
          <cell r="I32" t="str">
            <v>A166</v>
          </cell>
          <cell r="J32" t="str">
            <v>용지개발팀</v>
          </cell>
          <cell r="K32" t="str">
            <v>JD</v>
          </cell>
        </row>
        <row r="33">
          <cell r="I33" t="str">
            <v>A175</v>
          </cell>
          <cell r="J33" t="str">
            <v>주택공사팀</v>
          </cell>
          <cell r="K33" t="str">
            <v>JD</v>
          </cell>
        </row>
        <row r="34">
          <cell r="I34" t="str">
            <v>A176</v>
          </cell>
          <cell r="J34" t="str">
            <v>주택기술팀</v>
          </cell>
          <cell r="K34" t="str">
            <v>JD</v>
          </cell>
        </row>
        <row r="35">
          <cell r="I35" t="str">
            <v>A177</v>
          </cell>
          <cell r="J35" t="str">
            <v>주택마케팅팀</v>
          </cell>
          <cell r="K35" t="str">
            <v>JD</v>
          </cell>
        </row>
        <row r="36">
          <cell r="I36" t="str">
            <v>A191</v>
          </cell>
          <cell r="J36" t="str">
            <v>주택M/H</v>
          </cell>
          <cell r="K36" t="str">
            <v>JD</v>
          </cell>
        </row>
        <row r="37">
          <cell r="I37" t="str">
            <v>AG816-0190</v>
          </cell>
          <cell r="J37" t="str">
            <v>전주평화동 분양</v>
          </cell>
          <cell r="K37" t="str">
            <v>JD</v>
          </cell>
        </row>
        <row r="38">
          <cell r="I38" t="str">
            <v>AG821-0191</v>
          </cell>
          <cell r="J38" t="str">
            <v>군산산북동 분양</v>
          </cell>
          <cell r="K38" t="str">
            <v>JD</v>
          </cell>
        </row>
        <row r="39">
          <cell r="I39" t="str">
            <v>AG822-0191</v>
          </cell>
          <cell r="J39" t="str">
            <v>대전정림동 분양</v>
          </cell>
          <cell r="K39" t="str">
            <v>JD</v>
          </cell>
        </row>
        <row r="40">
          <cell r="I40" t="str">
            <v>AG823-0191</v>
          </cell>
          <cell r="J40" t="str">
            <v>중산1차 분양</v>
          </cell>
          <cell r="K40" t="str">
            <v>JD</v>
          </cell>
        </row>
        <row r="41">
          <cell r="I41" t="str">
            <v>AG824-0191</v>
          </cell>
          <cell r="J41" t="str">
            <v>둔산2차 분양</v>
          </cell>
          <cell r="K41" t="str">
            <v>JD</v>
          </cell>
        </row>
        <row r="42">
          <cell r="I42" t="str">
            <v>AG825-0192</v>
          </cell>
          <cell r="J42" t="str">
            <v>고양화정 분양</v>
          </cell>
          <cell r="K42" t="str">
            <v>JD</v>
          </cell>
        </row>
        <row r="43">
          <cell r="I43" t="str">
            <v>AG826-0192</v>
          </cell>
          <cell r="J43" t="str">
            <v>부산해운대 분양</v>
          </cell>
          <cell r="K43" t="str">
            <v>JD</v>
          </cell>
        </row>
        <row r="44">
          <cell r="I44" t="str">
            <v>AG827-0192</v>
          </cell>
          <cell r="J44" t="str">
            <v>일산2차 분양</v>
          </cell>
          <cell r="K44" t="str">
            <v>JD</v>
          </cell>
        </row>
        <row r="45">
          <cell r="I45" t="str">
            <v>AG828-0192</v>
          </cell>
          <cell r="J45" t="str">
            <v>의왕고천 분양</v>
          </cell>
          <cell r="K45" t="str">
            <v>JD</v>
          </cell>
        </row>
        <row r="46">
          <cell r="I46" t="str">
            <v>AG829-0192</v>
          </cell>
          <cell r="J46" t="str">
            <v>일산3차 분양</v>
          </cell>
          <cell r="K46" t="str">
            <v>JD</v>
          </cell>
        </row>
        <row r="47">
          <cell r="I47" t="str">
            <v>AG831-0193</v>
          </cell>
          <cell r="J47" t="str">
            <v>중산2차 분양</v>
          </cell>
          <cell r="K47" t="str">
            <v>JD</v>
          </cell>
        </row>
        <row r="48">
          <cell r="I48" t="str">
            <v>AG833-0193</v>
          </cell>
          <cell r="J48" t="str">
            <v>충주금릉 분양</v>
          </cell>
          <cell r="K48" t="str">
            <v>JD</v>
          </cell>
        </row>
        <row r="49">
          <cell r="I49" t="str">
            <v>AG834-0193</v>
          </cell>
          <cell r="J49" t="str">
            <v>부산화명 분양</v>
          </cell>
          <cell r="K49" t="str">
            <v>JD</v>
          </cell>
        </row>
        <row r="50">
          <cell r="I50" t="str">
            <v>AG835-0193</v>
          </cell>
          <cell r="J50" t="str">
            <v>분당연립 분양</v>
          </cell>
          <cell r="K50" t="str">
            <v>JD</v>
          </cell>
        </row>
        <row r="51">
          <cell r="I51" t="str">
            <v>AG836-0193</v>
          </cell>
          <cell r="J51" t="str">
            <v>고양능곡 분양</v>
          </cell>
          <cell r="K51" t="str">
            <v>JD</v>
          </cell>
        </row>
        <row r="52">
          <cell r="I52" t="str">
            <v>AG838-0193</v>
          </cell>
          <cell r="J52" t="str">
            <v>부산엄궁 분양</v>
          </cell>
          <cell r="K52" t="str">
            <v>JD</v>
          </cell>
        </row>
        <row r="53">
          <cell r="I53" t="str">
            <v>AG839-0195</v>
          </cell>
          <cell r="J53" t="str">
            <v>대구대명 분양</v>
          </cell>
          <cell r="K53" t="str">
            <v>JD</v>
          </cell>
        </row>
        <row r="54">
          <cell r="I54" t="str">
            <v>AG840-0195</v>
          </cell>
          <cell r="J54" t="str">
            <v>하계연립 분양</v>
          </cell>
          <cell r="K54" t="str">
            <v>JD</v>
          </cell>
        </row>
        <row r="55">
          <cell r="I55" t="str">
            <v>AG841-0195</v>
          </cell>
          <cell r="J55" t="str">
            <v>대림동 분양</v>
          </cell>
          <cell r="K55" t="str">
            <v>JD</v>
          </cell>
        </row>
        <row r="56">
          <cell r="I56" t="str">
            <v>AG841-0196</v>
          </cell>
          <cell r="J56" t="str">
            <v>수원정자 분양</v>
          </cell>
          <cell r="K56" t="str">
            <v>JD</v>
          </cell>
        </row>
        <row r="57">
          <cell r="I57" t="str">
            <v>AG842-0195</v>
          </cell>
          <cell r="J57" t="str">
            <v>남양주덕소 분양</v>
          </cell>
          <cell r="K57" t="str">
            <v>JD</v>
          </cell>
        </row>
        <row r="58">
          <cell r="I58" t="str">
            <v>AG845-0194</v>
          </cell>
          <cell r="J58" t="str">
            <v>상계동 분양</v>
          </cell>
          <cell r="K58" t="str">
            <v>JD</v>
          </cell>
        </row>
        <row r="59">
          <cell r="I59" t="str">
            <v>AG848-0196</v>
          </cell>
          <cell r="J59" t="str">
            <v>안중현화 분양</v>
          </cell>
          <cell r="K59" t="str">
            <v>JD</v>
          </cell>
        </row>
        <row r="60">
          <cell r="I60" t="str">
            <v>AG853*0197</v>
          </cell>
          <cell r="J60" t="str">
            <v>기흥구갈 분양</v>
          </cell>
          <cell r="K60" t="str">
            <v>JD</v>
          </cell>
        </row>
        <row r="61">
          <cell r="I61" t="str">
            <v>AG853-0196</v>
          </cell>
          <cell r="J61" t="str">
            <v>원주단관 분양</v>
          </cell>
          <cell r="K61" t="str">
            <v>JD</v>
          </cell>
        </row>
        <row r="62">
          <cell r="I62" t="str">
            <v>AG854*0197</v>
          </cell>
          <cell r="J62" t="str">
            <v>자체A 분양</v>
          </cell>
          <cell r="K62" t="str">
            <v>JD</v>
          </cell>
        </row>
        <row r="63">
          <cell r="I63" t="str">
            <v>AG891-0190</v>
          </cell>
          <cell r="J63" t="str">
            <v>춘천퇴계 분양</v>
          </cell>
          <cell r="K63" t="str">
            <v>JD</v>
          </cell>
        </row>
        <row r="64">
          <cell r="I64" t="str">
            <v>B019</v>
          </cell>
          <cell r="J64" t="str">
            <v>철구건재(건)</v>
          </cell>
          <cell r="K64" t="str">
            <v>GI</v>
          </cell>
        </row>
        <row r="65">
          <cell r="I65" t="str">
            <v>B020</v>
          </cell>
          <cell r="J65" t="str">
            <v>철구건재(철)</v>
          </cell>
          <cell r="K65" t="str">
            <v>GI</v>
          </cell>
        </row>
        <row r="66">
          <cell r="I66" t="str">
            <v>B022</v>
          </cell>
          <cell r="J66" t="str">
            <v>용인자재창고</v>
          </cell>
          <cell r="K66" t="str">
            <v>H</v>
          </cell>
        </row>
        <row r="67">
          <cell r="I67" t="str">
            <v>B030</v>
          </cell>
          <cell r="J67" t="str">
            <v>토목공사팀</v>
          </cell>
          <cell r="K67" t="str">
            <v>TD</v>
          </cell>
        </row>
        <row r="68">
          <cell r="I68" t="str">
            <v>B035</v>
          </cell>
          <cell r="J68" t="str">
            <v>토목견적팀</v>
          </cell>
          <cell r="K68" t="str">
            <v>TI</v>
          </cell>
        </row>
        <row r="69">
          <cell r="I69" t="str">
            <v>B039</v>
          </cell>
          <cell r="J69" t="str">
            <v>동해리조트추진본부</v>
          </cell>
          <cell r="K69" t="str">
            <v>H</v>
          </cell>
        </row>
        <row r="70">
          <cell r="I70" t="str">
            <v>B040</v>
          </cell>
          <cell r="J70" t="str">
            <v>건축공사팀</v>
          </cell>
          <cell r="K70" t="str">
            <v>GD</v>
          </cell>
        </row>
        <row r="71">
          <cell r="I71" t="str">
            <v>B050</v>
          </cell>
          <cell r="J71" t="str">
            <v>기전팀</v>
          </cell>
          <cell r="K71" t="str">
            <v>GI</v>
          </cell>
        </row>
        <row r="72">
          <cell r="I72" t="str">
            <v>B060</v>
          </cell>
          <cell r="J72" t="str">
            <v>구조설계팀</v>
          </cell>
          <cell r="K72" t="str">
            <v>TI</v>
          </cell>
        </row>
        <row r="73">
          <cell r="I73" t="str">
            <v>B070</v>
          </cell>
          <cell r="J73" t="str">
            <v>토질설계팀</v>
          </cell>
          <cell r="K73" t="str">
            <v>TI</v>
          </cell>
        </row>
        <row r="74">
          <cell r="I74" t="str">
            <v>B080</v>
          </cell>
          <cell r="J74" t="str">
            <v>용역개발팀</v>
          </cell>
          <cell r="K74" t="str">
            <v>Y</v>
          </cell>
        </row>
        <row r="75">
          <cell r="I75" t="str">
            <v>B085</v>
          </cell>
          <cell r="J75" t="str">
            <v>지하공간개발팀</v>
          </cell>
          <cell r="K75" t="str">
            <v>TI</v>
          </cell>
        </row>
        <row r="76">
          <cell r="I76" t="str">
            <v>B150</v>
          </cell>
          <cell r="J76" t="str">
            <v>플랜트사업1팀</v>
          </cell>
          <cell r="K76" t="str">
            <v>PD</v>
          </cell>
        </row>
        <row r="77">
          <cell r="I77" t="str">
            <v>B160</v>
          </cell>
          <cell r="J77" t="str">
            <v>건축견적팀</v>
          </cell>
          <cell r="K77" t="str">
            <v>GI</v>
          </cell>
        </row>
        <row r="78">
          <cell r="I78" t="str">
            <v>B165</v>
          </cell>
          <cell r="J78" t="str">
            <v>주택설계팀</v>
          </cell>
          <cell r="K78" t="str">
            <v>JD</v>
          </cell>
        </row>
        <row r="79">
          <cell r="I79" t="str">
            <v>C000</v>
          </cell>
          <cell r="J79" t="str">
            <v>부회장</v>
          </cell>
          <cell r="K79" t="str">
            <v>H</v>
          </cell>
        </row>
        <row r="80">
          <cell r="I80" t="str">
            <v>C001</v>
          </cell>
          <cell r="J80" t="str">
            <v>사장</v>
          </cell>
          <cell r="K80" t="str">
            <v>H</v>
          </cell>
        </row>
        <row r="81">
          <cell r="I81" t="str">
            <v>C002</v>
          </cell>
          <cell r="J81" t="str">
            <v>민부사장</v>
          </cell>
          <cell r="K81" t="str">
            <v>H</v>
          </cell>
        </row>
        <row r="82">
          <cell r="I82" t="str">
            <v>C003</v>
          </cell>
          <cell r="J82" t="str">
            <v>최부사장</v>
          </cell>
          <cell r="K82" t="str">
            <v>H</v>
          </cell>
        </row>
        <row r="83">
          <cell r="I83" t="str">
            <v>C022</v>
          </cell>
          <cell r="J83" t="str">
            <v>토목본부장</v>
          </cell>
          <cell r="K83" t="str">
            <v>TI</v>
          </cell>
        </row>
        <row r="84">
          <cell r="I84" t="str">
            <v>C024</v>
          </cell>
          <cell r="J84" t="str">
            <v>토목담당</v>
          </cell>
          <cell r="K84" t="str">
            <v>TI</v>
          </cell>
        </row>
        <row r="85">
          <cell r="I85" t="str">
            <v>C025</v>
          </cell>
          <cell r="J85" t="str">
            <v>토목담당</v>
          </cell>
          <cell r="K85" t="str">
            <v>TI</v>
          </cell>
        </row>
        <row r="86">
          <cell r="I86" t="str">
            <v>C031</v>
          </cell>
          <cell r="J86" t="str">
            <v>건축본부장</v>
          </cell>
          <cell r="K86" t="str">
            <v>GI</v>
          </cell>
        </row>
        <row r="87">
          <cell r="I87" t="str">
            <v>C032</v>
          </cell>
          <cell r="J87" t="str">
            <v>주택본부장</v>
          </cell>
          <cell r="K87" t="str">
            <v>JI</v>
          </cell>
        </row>
        <row r="88">
          <cell r="I88" t="str">
            <v>C034</v>
          </cell>
          <cell r="J88" t="str">
            <v>건축영업</v>
          </cell>
          <cell r="K88" t="str">
            <v>GI</v>
          </cell>
        </row>
        <row r="89">
          <cell r="I89" t="str">
            <v>C035</v>
          </cell>
          <cell r="J89" t="str">
            <v>건축공사</v>
          </cell>
          <cell r="K89" t="str">
            <v>GI</v>
          </cell>
        </row>
        <row r="90">
          <cell r="I90" t="str">
            <v>C036</v>
          </cell>
          <cell r="J90" t="str">
            <v>주택사업</v>
          </cell>
          <cell r="K90" t="str">
            <v>JI</v>
          </cell>
        </row>
        <row r="91">
          <cell r="I91" t="str">
            <v>C040</v>
          </cell>
          <cell r="J91" t="str">
            <v>주택공사</v>
          </cell>
          <cell r="K91" t="str">
            <v>JI</v>
          </cell>
        </row>
        <row r="92">
          <cell r="I92" t="str">
            <v>C060</v>
          </cell>
          <cell r="J92" t="str">
            <v>ENG본부장</v>
          </cell>
          <cell r="K92" t="str">
            <v>Y</v>
          </cell>
        </row>
        <row r="93">
          <cell r="I93" t="str">
            <v>C070</v>
          </cell>
          <cell r="J93" t="str">
            <v>업무담당</v>
          </cell>
          <cell r="K93" t="str">
            <v>TI</v>
          </cell>
        </row>
        <row r="94">
          <cell r="I94" t="str">
            <v>C093</v>
          </cell>
          <cell r="J94" t="str">
            <v>해외본부장</v>
          </cell>
          <cell r="K94" t="str">
            <v>FI</v>
          </cell>
        </row>
        <row r="95">
          <cell r="I95" t="str">
            <v>C121</v>
          </cell>
          <cell r="J95" t="str">
            <v>기획담당</v>
          </cell>
          <cell r="K95" t="str">
            <v>H</v>
          </cell>
        </row>
        <row r="96">
          <cell r="I96" t="str">
            <v>C122</v>
          </cell>
          <cell r="J96" t="str">
            <v>지원담당</v>
          </cell>
          <cell r="K96" t="str">
            <v>H</v>
          </cell>
        </row>
        <row r="97">
          <cell r="I97" t="str">
            <v>CG830-0193</v>
          </cell>
          <cell r="J97" t="str">
            <v>삼선재건축 분양</v>
          </cell>
          <cell r="K97" t="str">
            <v>JD</v>
          </cell>
        </row>
        <row r="98">
          <cell r="I98" t="str">
            <v>CG831-0193</v>
          </cell>
          <cell r="J98" t="str">
            <v>석관동재건축 분양</v>
          </cell>
          <cell r="K98" t="str">
            <v>JD</v>
          </cell>
        </row>
        <row r="99">
          <cell r="I99" t="str">
            <v>CG841-0193</v>
          </cell>
          <cell r="J99" t="str">
            <v>이촌동B재건축 분양</v>
          </cell>
          <cell r="K99" t="str">
            <v>JD</v>
          </cell>
        </row>
        <row r="100">
          <cell r="I100" t="str">
            <v>CG843-0194</v>
          </cell>
          <cell r="J100" t="str">
            <v>성내동재건축 분양</v>
          </cell>
          <cell r="K100" t="str">
            <v>JD</v>
          </cell>
        </row>
        <row r="101">
          <cell r="I101" t="str">
            <v>CG849-0195</v>
          </cell>
          <cell r="J101" t="str">
            <v>부산왕자재건축 분양</v>
          </cell>
          <cell r="K101" t="str">
            <v>JD</v>
          </cell>
        </row>
        <row r="102">
          <cell r="I102" t="str">
            <v>CG850-0195</v>
          </cell>
          <cell r="J102" t="str">
            <v>잠실시영재건축 분양</v>
          </cell>
          <cell r="K102" t="str">
            <v>JD</v>
          </cell>
        </row>
        <row r="103">
          <cell r="I103" t="str">
            <v>CG851-0195</v>
          </cell>
          <cell r="J103" t="str">
            <v>서빙고재건축 분양</v>
          </cell>
          <cell r="K103" t="str">
            <v>JD</v>
          </cell>
        </row>
        <row r="104">
          <cell r="I104" t="str">
            <v>CG853-0195</v>
          </cell>
          <cell r="J104" t="str">
            <v>해운대재건축 분양</v>
          </cell>
          <cell r="K104" t="str">
            <v>JD</v>
          </cell>
        </row>
        <row r="105">
          <cell r="I105" t="str">
            <v>CG854-0196</v>
          </cell>
          <cell r="J105" t="str">
            <v>수원구운동재건축 분양</v>
          </cell>
          <cell r="K105" t="str">
            <v>JD</v>
          </cell>
        </row>
        <row r="106">
          <cell r="I106" t="str">
            <v>CG855-0196</v>
          </cell>
          <cell r="J106" t="str">
            <v>등촌제일재건축 분양</v>
          </cell>
          <cell r="K106" t="str">
            <v>JD</v>
          </cell>
        </row>
        <row r="107">
          <cell r="I107" t="str">
            <v>CG856-0196</v>
          </cell>
          <cell r="J107" t="str">
            <v>연세빌라재건축 분양</v>
          </cell>
          <cell r="K107" t="str">
            <v>JD</v>
          </cell>
        </row>
        <row r="108">
          <cell r="I108" t="str">
            <v>CG857*0196</v>
          </cell>
          <cell r="J108" t="str">
            <v>김포고천재건축 분양</v>
          </cell>
          <cell r="K108" t="str">
            <v>JD</v>
          </cell>
        </row>
        <row r="109">
          <cell r="I109" t="str">
            <v>CG858*0197</v>
          </cell>
          <cell r="J109" t="str">
            <v>재건축A 분양</v>
          </cell>
          <cell r="K109" t="str">
            <v>JD</v>
          </cell>
        </row>
        <row r="110">
          <cell r="I110" t="str">
            <v>CG859*0197</v>
          </cell>
          <cell r="J110" t="str">
            <v>재건축B 분양</v>
          </cell>
          <cell r="K110" t="str">
            <v>JD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  <sheetName val="Import"/>
      <sheetName val="코드"/>
      <sheetName val="내용"/>
      <sheetName val="비품0301"/>
      <sheetName val="신비품0301"/>
      <sheetName val="2011년 Movie DB"/>
      <sheetName val="hide"/>
      <sheetName val="목_차"/>
      <sheetName val="목_차1"/>
      <sheetName val="2011년_Movie_DB"/>
      <sheetName val="아침햇쌀"/>
      <sheetName val="시장"/>
      <sheetName val="캔개발배경"/>
      <sheetName val="일정표"/>
      <sheetName val="Macro1"/>
      <sheetName val="계열사현황종합"/>
      <sheetName val="#REF"/>
      <sheetName val="사원번호"/>
      <sheetName val=" 작업 공수 산출.xlsx"/>
      <sheetName val="분류"/>
      <sheetName val="3-4현"/>
      <sheetName val="3-3현"/>
      <sheetName val="Setup"/>
      <sheetName val="bulk_data"/>
      <sheetName val="전체단가표"/>
      <sheetName val="頻道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사원번호"/>
      <sheetName val="2010년_Movie_DB"/>
      <sheetName val="2010년_라인업"/>
      <sheetName val="2010년_주요지면_Imp"/>
      <sheetName val="2010년_주요지면_Click"/>
      <sheetName val="hide"/>
      <sheetName val="CTEMCOST"/>
      <sheetName val="2011년 Movie DB"/>
      <sheetName val="2. 역별 월별 유동인구"/>
      <sheetName val="코드"/>
      <sheetName val="2011년_Movie_DB"/>
      <sheetName val="위스키3"/>
      <sheetName val="주류전체2"/>
      <sheetName val="관리일지"/>
      <sheetName val="분류"/>
      <sheetName val="가격표"/>
      <sheetName val="앱디스코 매체제안서"/>
      <sheetName val="현금"/>
      <sheetName val="원본"/>
      <sheetName val="Sheet1"/>
      <sheetName val="bulk_data"/>
      <sheetName val="報價單"/>
      <sheetName val="기준 자료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할인정책_0106"/>
      <sheetName val="(구)2010년 할인정책_1120"/>
      <sheetName val="Sheet1"/>
      <sheetName val="2010년_할인정책_0106"/>
      <sheetName val="(구)2010년_할인정책_1120"/>
    </sheetNames>
    <sheetDataSet>
      <sheetData sheetId="0" refreshError="1"/>
      <sheetData sheetId="1" refreshError="1"/>
      <sheetData sheetId="2">
        <row r="2">
          <cell r="B2" t="str">
            <v>15/20초</v>
          </cell>
        </row>
        <row r="3">
          <cell r="B3" t="str">
            <v>30초</v>
          </cell>
        </row>
      </sheetData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2010년 Movie DB"/>
      <sheetName val="다음"/>
      <sheetName val="조인스MSN"/>
      <sheetName val="Daum"/>
      <sheetName val="IO&amp;GL"/>
      <sheetName val="합계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페이스북 모바일 DA 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3년 Movie DB"/>
      <sheetName val="2012년 Movie DB"/>
      <sheetName val="2011년 Movie DB"/>
      <sheetName val="2010년 Movie DB"/>
      <sheetName val="2012년 상반기 Movie DB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NHN.Media Proposal.nhn.ver1.5"/>
      <sheetName val="월간일정표"/>
      <sheetName val="MediaMix"/>
      <sheetName val="엔미즈_코리아"/>
      <sheetName val="Sheet1"/>
      <sheetName val="코드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단가표"/>
      <sheetName val="월간일정표"/>
      <sheetName val="네이버"/>
      <sheetName val="SBS"/>
      <sheetName val="KBS"/>
      <sheetName val="다음"/>
      <sheetName val="조인스MSN"/>
      <sheetName val="Plan"/>
      <sheetName val="가이드모음"/>
      <sheetName val="게재지면캡쳐"/>
      <sheetName val="mediamix샘플_확정 (2)"/>
      <sheetName val="mediamix샘플_확정"/>
      <sheetName val="연간제안샘플"/>
      <sheetName val="단발제안샘플"/>
      <sheetName val="200MM"/>
      <sheetName val="mediamix샘플_확정 (3)"/>
      <sheetName val="엔미즈_코리아"/>
      <sheetName val="전체"/>
      <sheetName val="08주택"/>
      <sheetName val="Sheet3"/>
      <sheetName val="2011년 Movie DB"/>
      <sheetName val="메트로_승,하차DB"/>
      <sheetName val="역사리스트DB"/>
      <sheetName val="채널"/>
      <sheetName val="Gen Assumptions"/>
      <sheetName val="홈엔"/>
    </sheetNames>
    <sheetDataSet>
      <sheetData sheetId="0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0.12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0.16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0.04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0.13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0.31</v>
          </cell>
        </row>
        <row r="10">
          <cell r="A10" t="str">
            <v>네이버&gt;Home&gt;&gt;상단 배너(390x100)</v>
          </cell>
          <cell r="B10">
            <v>3133730605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0.14000000000000001</v>
          </cell>
        </row>
        <row r="11">
          <cell r="A11" t="str">
            <v>네이버&gt;Home&gt;&gt;동영상 익스팬더블(390x100, 394x310)</v>
          </cell>
          <cell r="B11">
            <v>3133730605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0.19</v>
          </cell>
        </row>
        <row r="12">
          <cell r="A12" t="str">
            <v>네이버&gt;Home&gt;&gt;프리미엄_텍스트(170x13)</v>
          </cell>
          <cell r="B12">
            <v>39.856999999999999</v>
          </cell>
          <cell r="C12" t="str">
            <v>170*13</v>
          </cell>
          <cell r="D12" t="str">
            <v>10K</v>
          </cell>
          <cell r="E12">
            <v>20000000</v>
          </cell>
          <cell r="F12">
            <v>0.01</v>
          </cell>
        </row>
        <row r="13">
          <cell r="A13" t="str">
            <v>네이버&gt;검색&gt;&gt;랜덤아이콘(100x100)</v>
          </cell>
          <cell r="B13">
            <v>265714290.14300001</v>
          </cell>
          <cell r="C13" t="str">
            <v>130*110</v>
          </cell>
          <cell r="D13" t="str">
            <v>50K</v>
          </cell>
          <cell r="E13">
            <v>60000000</v>
          </cell>
          <cell r="F13">
            <v>0.02</v>
          </cell>
        </row>
        <row r="14">
          <cell r="A14" t="str">
            <v>네이버&gt;검색&gt;인기검색어/지식검색&gt;&gt;우측배너(240x240)</v>
          </cell>
          <cell r="B14">
            <v>2045856</v>
          </cell>
          <cell r="C14" t="str">
            <v>148*600</v>
          </cell>
          <cell r="D14" t="str">
            <v>130K</v>
          </cell>
          <cell r="E14">
            <v>2</v>
          </cell>
          <cell r="F14">
            <v>0.38</v>
          </cell>
        </row>
        <row r="15">
          <cell r="A15" t="str">
            <v>네이버&gt;검색&gt;인물&gt;&gt;우측 배너(240x240)</v>
          </cell>
          <cell r="B15">
            <v>12473699</v>
          </cell>
          <cell r="C15" t="str">
            <v>240*240</v>
          </cell>
          <cell r="D15" t="str">
            <v>130K</v>
          </cell>
          <cell r="E15">
            <v>2</v>
          </cell>
          <cell r="F15">
            <v>0.1</v>
          </cell>
        </row>
        <row r="16">
          <cell r="A16" t="str">
            <v>네이버&gt;검색&gt;지식시장&gt;&gt;우측배너(240x240)</v>
          </cell>
          <cell r="B16">
            <v>14931339</v>
          </cell>
          <cell r="C16" t="str">
            <v>240*240</v>
          </cell>
          <cell r="D16" t="str">
            <v>130K</v>
          </cell>
          <cell r="E16">
            <v>2</v>
          </cell>
          <cell r="F16">
            <v>0.09</v>
          </cell>
        </row>
        <row r="17">
          <cell r="A17" t="str">
            <v>네이버&gt;검색&gt;지식인&gt;&gt;우측 배너(240x240)</v>
          </cell>
          <cell r="B17">
            <v>868376535</v>
          </cell>
          <cell r="C17" t="str">
            <v>240*240</v>
          </cell>
          <cell r="D17" t="str">
            <v>130K</v>
          </cell>
          <cell r="E17">
            <v>2</v>
          </cell>
          <cell r="F17">
            <v>0.05</v>
          </cell>
        </row>
        <row r="18">
          <cell r="A18" t="str">
            <v>네이버&gt;검색&gt;특허&gt;&gt;우측 배너(240x240)</v>
          </cell>
          <cell r="B18">
            <v>2969253</v>
          </cell>
          <cell r="C18" t="str">
            <v>240*240</v>
          </cell>
          <cell r="D18" t="str">
            <v>130K</v>
          </cell>
          <cell r="E18">
            <v>1.5</v>
          </cell>
          <cell r="F18">
            <v>0.04</v>
          </cell>
        </row>
        <row r="19">
          <cell r="A19" t="str">
            <v>네이버&gt;금융&gt;&gt;금융서브_우측 배너(148x600)</v>
          </cell>
          <cell r="B19">
            <v>1796484</v>
          </cell>
          <cell r="C19" t="str">
            <v>148*600</v>
          </cell>
          <cell r="D19" t="str">
            <v>130K</v>
          </cell>
          <cell r="E19">
            <v>1.5</v>
          </cell>
          <cell r="F19">
            <v>0.08</v>
          </cell>
        </row>
        <row r="20">
          <cell r="A20" t="str">
            <v>네이버&gt;금융&gt;&gt;금융탑_우측 배너(240x240)</v>
          </cell>
          <cell r="B20">
            <v>44189989</v>
          </cell>
          <cell r="C20" t="str">
            <v>240*240</v>
          </cell>
          <cell r="D20" t="str">
            <v>130K</v>
          </cell>
          <cell r="E20">
            <v>3</v>
          </cell>
          <cell r="F20">
            <v>0.05</v>
          </cell>
        </row>
        <row r="21">
          <cell r="A21" t="str">
            <v>네이버&gt;금융&gt;증권&gt;증권서브&gt;&gt;우측 배너(148x600)</v>
          </cell>
          <cell r="B21">
            <v>252906687</v>
          </cell>
          <cell r="C21" t="str">
            <v>148*600</v>
          </cell>
          <cell r="D21" t="str">
            <v>130K</v>
          </cell>
          <cell r="E21">
            <v>1.5</v>
          </cell>
          <cell r="F21">
            <v>0.03</v>
          </cell>
        </row>
        <row r="22">
          <cell r="A22" t="str">
            <v>네이버&gt;내PC&gt;자료실&gt;&gt;우측 배너(200x200)</v>
          </cell>
          <cell r="B22">
            <v>42936389</v>
          </cell>
          <cell r="C22" t="str">
            <v>200*200</v>
          </cell>
          <cell r="D22" t="str">
            <v>130K</v>
          </cell>
          <cell r="E22">
            <v>1.5</v>
          </cell>
          <cell r="F22">
            <v>0.03</v>
          </cell>
        </row>
        <row r="23">
          <cell r="A23" t="str">
            <v>네이버&gt;미디어&gt;뉴스&gt;&gt;기사내 배너(240x240)</v>
          </cell>
          <cell r="B23">
            <v>176444928.30000001</v>
          </cell>
          <cell r="C23" t="str">
            <v>240*240</v>
          </cell>
          <cell r="D23" t="str">
            <v>130K</v>
          </cell>
          <cell r="E23">
            <v>4</v>
          </cell>
          <cell r="F23">
            <v>0.12</v>
          </cell>
        </row>
        <row r="24">
          <cell r="A24" t="str">
            <v>네이버&gt;미디어&gt;뉴스&gt;&gt;뉴스_HD동영상배너(240x240)</v>
          </cell>
          <cell r="B24">
            <v>412689043.19999999</v>
          </cell>
          <cell r="C24" t="str">
            <v>240*240</v>
          </cell>
          <cell r="D24" t="str">
            <v>130K+20M</v>
          </cell>
          <cell r="E24">
            <v>5</v>
          </cell>
          <cell r="F24" t="str">
            <v>-</v>
          </cell>
        </row>
        <row r="25">
          <cell r="A25" t="str">
            <v>네이버&gt;미디어&gt;뉴스&gt;&gt;뉴스_아웃배너(240x240)</v>
          </cell>
          <cell r="B25">
            <v>659780358.70000005</v>
          </cell>
          <cell r="C25" t="str">
            <v>240*240</v>
          </cell>
          <cell r="D25" t="str">
            <v>130K</v>
          </cell>
          <cell r="E25">
            <v>4</v>
          </cell>
          <cell r="F25">
            <v>0.05</v>
          </cell>
        </row>
        <row r="26">
          <cell r="A26" t="str">
            <v>네이버&gt;미디어&gt;뉴스&gt;&gt;뉴스_확장배너(240x240)</v>
          </cell>
          <cell r="B26">
            <v>659780358.70000005</v>
          </cell>
          <cell r="C26" t="str">
            <v>240*240</v>
          </cell>
          <cell r="D26" t="str">
            <v>300K</v>
          </cell>
          <cell r="E26">
            <v>3</v>
          </cell>
          <cell r="F26">
            <v>0.04</v>
          </cell>
        </row>
        <row r="27">
          <cell r="A27" t="str">
            <v>네이버&gt;미디어&gt;뉴스&gt;&gt;섹션홈_우측 배너(240x240)</v>
          </cell>
          <cell r="B27">
            <v>135431982.09999999</v>
          </cell>
          <cell r="C27" t="str">
            <v>240*240</v>
          </cell>
          <cell r="D27" t="str">
            <v>130K</v>
          </cell>
          <cell r="E27">
            <v>3</v>
          </cell>
          <cell r="F27">
            <v>0.03</v>
          </cell>
        </row>
        <row r="28">
          <cell r="A28" t="str">
            <v>네이버&gt;미디어&gt;뉴스&gt;&gt;우측 배너(240x240)</v>
          </cell>
          <cell r="B28">
            <v>1597686459.96</v>
          </cell>
          <cell r="C28" t="str">
            <v>240*240</v>
          </cell>
          <cell r="D28" t="str">
            <v>130K</v>
          </cell>
          <cell r="E28">
            <v>2</v>
          </cell>
          <cell r="F28">
            <v>0.06</v>
          </cell>
        </row>
        <row r="29">
          <cell r="A29" t="str">
            <v>네이버&gt;미디어&gt;뉴스&gt;&gt;통합 텍스트</v>
          </cell>
          <cell r="B29">
            <v>1031484257.2</v>
          </cell>
          <cell r="C29" t="str">
            <v>25/33자</v>
          </cell>
          <cell r="D29" t="str">
            <v>-</v>
          </cell>
          <cell r="E29">
            <v>0.5</v>
          </cell>
          <cell r="F29">
            <v>0.05</v>
          </cell>
        </row>
        <row r="30">
          <cell r="A30" t="str">
            <v>네이버&gt;미디어&gt;뉴스&gt;홈&gt;&gt;뉴스홈 브랜딩보드(270x180)</v>
          </cell>
          <cell r="B30" t="str">
            <v>-</v>
          </cell>
          <cell r="C30" t="str">
            <v>270*180</v>
          </cell>
          <cell r="D30" t="str">
            <v>150K</v>
          </cell>
          <cell r="E30">
            <v>20000000</v>
          </cell>
          <cell r="F30">
            <v>0.25</v>
          </cell>
        </row>
        <row r="31">
          <cell r="A31" t="str">
            <v>네이버&gt;미디어&gt;스포츠&gt;&gt;우측 배너(240x240)</v>
          </cell>
          <cell r="B31">
            <v>435302101.75999999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0.04</v>
          </cell>
        </row>
        <row r="32">
          <cell r="A32" t="str">
            <v>네이버&gt;미디어&gt;스포츠&gt;&gt;텍스트</v>
          </cell>
          <cell r="B32">
            <v>191859416.09999999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0.01</v>
          </cell>
        </row>
        <row r="33">
          <cell r="A33" t="str">
            <v>네이버&gt;사전&gt;&gt;우측 배너(240x240)</v>
          </cell>
          <cell r="B33">
            <v>192200821</v>
          </cell>
          <cell r="C33" t="str">
            <v>240*240</v>
          </cell>
          <cell r="D33" t="str">
            <v>130K</v>
          </cell>
          <cell r="E33">
            <v>2</v>
          </cell>
          <cell r="F33">
            <v>0.03</v>
          </cell>
        </row>
        <row r="34">
          <cell r="A34" t="str">
            <v>네이버&gt;생활&gt;날씨&gt;&gt;우측 배너(200x200)</v>
          </cell>
          <cell r="B34">
            <v>14178443</v>
          </cell>
          <cell r="C34" t="str">
            <v>200*200</v>
          </cell>
          <cell r="D34" t="str">
            <v>130K</v>
          </cell>
          <cell r="E34">
            <v>2</v>
          </cell>
          <cell r="F34">
            <v>0.19</v>
          </cell>
        </row>
        <row r="35">
          <cell r="A35" t="str">
            <v>네이버&gt;생활&gt;여행&gt;여행서브&gt;&gt;우측 배너(160x400)</v>
          </cell>
          <cell r="B35">
            <v>4103745</v>
          </cell>
          <cell r="C35" t="str">
            <v>160*400</v>
          </cell>
          <cell r="D35" t="str">
            <v>130K</v>
          </cell>
          <cell r="E35">
            <v>3</v>
          </cell>
          <cell r="F35">
            <v>0.1</v>
          </cell>
        </row>
        <row r="36">
          <cell r="A36" t="str">
            <v>네이버&gt;생활&gt;여행&gt;여행홈&gt;&gt;TI(500x300)</v>
          </cell>
          <cell r="B36" t="str">
            <v>-</v>
          </cell>
          <cell r="C36" t="str">
            <v>500*300</v>
          </cell>
          <cell r="D36" t="str">
            <v>150K</v>
          </cell>
          <cell r="E36">
            <v>7000000</v>
          </cell>
          <cell r="F36">
            <v>2.0499999999999998</v>
          </cell>
        </row>
        <row r="37">
          <cell r="A37" t="str">
            <v>네이버&gt;생활&gt;여행&gt;여행홈&gt;&gt;우측 배너(200x200)</v>
          </cell>
          <cell r="B37">
            <v>1680252</v>
          </cell>
          <cell r="C37" t="str">
            <v>200*200</v>
          </cell>
          <cell r="D37" t="str">
            <v>130K</v>
          </cell>
          <cell r="E37">
            <v>3</v>
          </cell>
          <cell r="F37">
            <v>0.19</v>
          </cell>
        </row>
        <row r="38">
          <cell r="A38" t="str">
            <v>네이버&gt;생활&gt;요리&gt;요리서브&gt;&gt;우측 배너(160x400)</v>
          </cell>
          <cell r="B38">
            <v>12216187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7.0000000000000007E-2</v>
          </cell>
        </row>
        <row r="39">
          <cell r="A39" t="str">
            <v>네이버&gt;생활&gt;요리&gt;요리홈&gt;&gt;우측 배너(200x200)</v>
          </cell>
          <cell r="B39">
            <v>1331755</v>
          </cell>
          <cell r="C39" t="str">
            <v>200*200</v>
          </cell>
          <cell r="D39" t="str">
            <v>130K</v>
          </cell>
          <cell r="E39">
            <v>3</v>
          </cell>
          <cell r="F39">
            <v>0.06</v>
          </cell>
        </row>
        <row r="40">
          <cell r="A40" t="str">
            <v>네이버&gt;생활&gt;월드타운&gt;월드타운서브&gt;&gt;우측 배너(160x400)</v>
          </cell>
          <cell r="B40">
            <v>19634861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7.0000000000000007E-2</v>
          </cell>
        </row>
        <row r="41">
          <cell r="A41" t="str">
            <v>네이버&gt;생활&gt;월드타운&gt;월드타운홈&gt;&gt;우측 배너(240x240)</v>
          </cell>
          <cell r="B41">
            <v>1020388</v>
          </cell>
          <cell r="C41" t="str">
            <v>240*240</v>
          </cell>
          <cell r="D41" t="str">
            <v>130K</v>
          </cell>
          <cell r="E41">
            <v>3</v>
          </cell>
          <cell r="F41">
            <v>0.1</v>
          </cell>
        </row>
        <row r="42">
          <cell r="A42" t="str">
            <v>네이버&gt;생활&gt;인조이재팬&gt;&gt;우측 배너(240x240)</v>
          </cell>
          <cell r="B42">
            <v>3437151</v>
          </cell>
          <cell r="C42" t="str">
            <v>240*240</v>
          </cell>
          <cell r="D42" t="str">
            <v>130K</v>
          </cell>
          <cell r="E42">
            <v>1.5</v>
          </cell>
          <cell r="F42">
            <v>0.09</v>
          </cell>
        </row>
        <row r="43">
          <cell r="A43" t="str">
            <v>네이버&gt;생활&gt;인조이재팬&gt;번역게시판&gt;&gt;우측 배너(148x600)</v>
          </cell>
          <cell r="B43">
            <v>43235785</v>
          </cell>
          <cell r="C43" t="str">
            <v>148*600</v>
          </cell>
          <cell r="D43" t="str">
            <v>130K</v>
          </cell>
          <cell r="E43">
            <v>1.5</v>
          </cell>
          <cell r="F43">
            <v>0.03</v>
          </cell>
        </row>
        <row r="44">
          <cell r="A44" t="str">
            <v>네이버&gt;생활&gt;자동차&gt;&gt;우측 배너(240x240)</v>
          </cell>
          <cell r="B44">
            <v>17133229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0.09</v>
          </cell>
        </row>
        <row r="45">
          <cell r="A45" t="str">
            <v>네이버&gt;생활&gt;자동차&gt;자료실&gt;&gt;우측 배너(160x400)</v>
          </cell>
          <cell r="B45">
            <v>52120780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7.0000000000000007E-2</v>
          </cell>
        </row>
        <row r="46">
          <cell r="A46" t="str">
            <v>네이버&gt;생활&gt;지역정보&gt;교통&gt;&gt;우측배너(200x200)</v>
          </cell>
          <cell r="B46">
            <v>748806</v>
          </cell>
          <cell r="C46" t="str">
            <v>200*200</v>
          </cell>
          <cell r="D46" t="str">
            <v>130K</v>
          </cell>
          <cell r="E46">
            <v>2</v>
          </cell>
          <cell r="F46">
            <v>0.05</v>
          </cell>
        </row>
        <row r="47">
          <cell r="A47" t="str">
            <v>네이버&gt;생활&gt;지역정보&gt;지역정보서브&gt;&gt;우측 배너(200x200)</v>
          </cell>
          <cell r="B47">
            <v>339217</v>
          </cell>
          <cell r="C47" t="str">
            <v>200*200</v>
          </cell>
          <cell r="D47" t="str">
            <v>130K</v>
          </cell>
          <cell r="E47">
            <v>2</v>
          </cell>
          <cell r="F47">
            <v>0.05</v>
          </cell>
        </row>
        <row r="48">
          <cell r="A48" t="str">
            <v>네이버&gt;생활&gt;지역정보&gt;지역정보서브&gt;&gt;지도검색 배너(400x70)</v>
          </cell>
          <cell r="B48">
            <v>12011706</v>
          </cell>
          <cell r="C48" t="str">
            <v>400*70</v>
          </cell>
          <cell r="D48" t="str">
            <v>130K</v>
          </cell>
          <cell r="E48">
            <v>2</v>
          </cell>
          <cell r="F48">
            <v>0.36</v>
          </cell>
        </row>
        <row r="49">
          <cell r="A49" t="str">
            <v>네이버&gt;생활&gt;지역정보&gt;지역정보홈&gt;&gt;우측 배너(240x240)</v>
          </cell>
          <cell r="B49">
            <v>2065325</v>
          </cell>
          <cell r="C49" t="str">
            <v>240*240</v>
          </cell>
          <cell r="D49" t="str">
            <v>130K</v>
          </cell>
          <cell r="E49">
            <v>2</v>
          </cell>
          <cell r="F49">
            <v>0.06</v>
          </cell>
        </row>
        <row r="50">
          <cell r="A50" t="str">
            <v>네이버&gt;엔터테이먼트&gt;뮤직&gt;뮤직서브&gt;&gt;우측 배너(200x170)</v>
          </cell>
          <cell r="B50">
            <v>28855167</v>
          </cell>
          <cell r="C50" t="str">
            <v>200*170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네이버&gt;엔터테이먼트&gt;뮤직&gt;뮤직플레이어&gt;&gt;하단 배너(380x50)</v>
          </cell>
          <cell r="B51">
            <v>2549816</v>
          </cell>
          <cell r="C51" t="str">
            <v>380*50</v>
          </cell>
          <cell r="D51" t="str">
            <v>130K</v>
          </cell>
          <cell r="E51">
            <v>1.5</v>
          </cell>
          <cell r="F51">
            <v>0.5</v>
          </cell>
        </row>
        <row r="52">
          <cell r="A52" t="str">
            <v>네이버&gt;엔터테이먼트&gt;뮤직&gt;뮤직홈&gt;&gt;우측 배너(200x170)</v>
          </cell>
          <cell r="B52">
            <v>2794616</v>
          </cell>
          <cell r="C52" t="str">
            <v>200*170</v>
          </cell>
          <cell r="D52" t="str">
            <v>130K</v>
          </cell>
          <cell r="E52">
            <v>3</v>
          </cell>
          <cell r="F52">
            <v>7.0000000000000007E-2</v>
          </cell>
        </row>
        <row r="53">
          <cell r="A53" t="str">
            <v>네이버&gt;엔터테이먼트&gt;영화&gt;영화서브&gt;&gt;우측 배너(220x180)</v>
          </cell>
          <cell r="B53">
            <v>55784569</v>
          </cell>
          <cell r="C53" t="str">
            <v>220*180</v>
          </cell>
          <cell r="D53" t="str">
            <v>130K</v>
          </cell>
          <cell r="E53">
            <v>2</v>
          </cell>
          <cell r="F53">
            <v>7.0000000000000007E-2</v>
          </cell>
        </row>
        <row r="54">
          <cell r="A54" t="str">
            <v>네이버&gt;엔터테이먼트&gt;영화&gt;영화서브&gt;동영상플레이어&gt;&gt;하단 배너(700x95)</v>
          </cell>
          <cell r="B54">
            <v>53.143000000000001</v>
          </cell>
          <cell r="C54" t="str">
            <v>700*95</v>
          </cell>
          <cell r="D54" t="str">
            <v>130K</v>
          </cell>
          <cell r="E54">
            <v>1000000</v>
          </cell>
          <cell r="F54">
            <v>0.62</v>
          </cell>
        </row>
        <row r="55">
          <cell r="A55" t="str">
            <v>네이버&gt;엔터테이먼트&gt;영화&gt;영화서브&gt;슬라이드쇼&gt;&gt;우측 배너(230x110)</v>
          </cell>
          <cell r="B55">
            <v>6139263</v>
          </cell>
          <cell r="C55" t="str">
            <v>230*110</v>
          </cell>
          <cell r="D55" t="str">
            <v>130K</v>
          </cell>
          <cell r="E55">
            <v>2</v>
          </cell>
          <cell r="F55">
            <v>0.22</v>
          </cell>
        </row>
        <row r="56">
          <cell r="A56" t="str">
            <v>네이버&gt;엔터테이먼트&gt;영화&gt;영화홈&gt;&gt;좌측 배너(400x110)</v>
          </cell>
          <cell r="B56">
            <v>53.143000000000001</v>
          </cell>
          <cell r="C56" t="str">
            <v>400*100</v>
          </cell>
          <cell r="D56" t="str">
            <v>130K</v>
          </cell>
          <cell r="E56">
            <v>2000000</v>
          </cell>
          <cell r="F56">
            <v>0.83</v>
          </cell>
        </row>
        <row r="57">
          <cell r="A57" t="str">
            <v>네이버&gt;엔터테이먼트&gt;영화&gt;영화홈&gt;&gt;좌측 배너(420x340)</v>
          </cell>
          <cell r="B57">
            <v>53.143000000000001</v>
          </cell>
          <cell r="C57" t="str">
            <v>420*340</v>
          </cell>
          <cell r="D57" t="str">
            <v>130K</v>
          </cell>
          <cell r="E57">
            <v>3000000</v>
          </cell>
          <cell r="F57">
            <v>1.1299999999999999</v>
          </cell>
        </row>
        <row r="58">
          <cell r="A58" t="str">
            <v>네이버&gt;엔터테이먼트&gt;운세&gt;&gt;우측 배너(148x600)</v>
          </cell>
          <cell r="B58">
            <v>6378044</v>
          </cell>
          <cell r="C58" t="str">
            <v>148*600</v>
          </cell>
          <cell r="D58" t="str">
            <v>130K</v>
          </cell>
          <cell r="E58">
            <v>1.5</v>
          </cell>
          <cell r="F58">
            <v>0.08</v>
          </cell>
        </row>
        <row r="59">
          <cell r="A59" t="str">
            <v>네이버&gt;엔터테이먼트&gt;운세&gt;&gt;우측 배너(240x240)</v>
          </cell>
          <cell r="B59">
            <v>1417888</v>
          </cell>
          <cell r="C59" t="str">
            <v>240*240</v>
          </cell>
          <cell r="D59" t="str">
            <v>130K</v>
          </cell>
          <cell r="E59">
            <v>1.5</v>
          </cell>
          <cell r="F59">
            <v>0.06</v>
          </cell>
        </row>
        <row r="60">
          <cell r="A60" t="str">
            <v>네이버&gt;여성&gt;미즈생각&gt;미즈생각서브&gt;&gt;우측 배너(160x400)</v>
          </cell>
          <cell r="B60">
            <v>14851934</v>
          </cell>
          <cell r="C60" t="str">
            <v>160*400</v>
          </cell>
          <cell r="D60" t="str">
            <v>130K</v>
          </cell>
          <cell r="E60">
            <v>3</v>
          </cell>
          <cell r="F60">
            <v>0.03</v>
          </cell>
        </row>
        <row r="61">
          <cell r="A61" t="str">
            <v>네이버&gt;여성&gt;미즈생각&gt;미즈생각서브&gt;&gt;텍스트</v>
          </cell>
          <cell r="B61">
            <v>9431339</v>
          </cell>
          <cell r="C61" t="str">
            <v>25/33자</v>
          </cell>
          <cell r="D61" t="str">
            <v>-</v>
          </cell>
          <cell r="E61">
            <v>3</v>
          </cell>
          <cell r="F61">
            <v>0.02</v>
          </cell>
        </row>
        <row r="62">
          <cell r="A62" t="str">
            <v>네이버&gt;여성&gt;미즈생각&gt;미즈생각홈&gt;&gt;우측 배너(200x200)</v>
          </cell>
          <cell r="B62">
            <v>1749741</v>
          </cell>
          <cell r="C62" t="str">
            <v>200*200</v>
          </cell>
          <cell r="D62" t="str">
            <v>130K</v>
          </cell>
          <cell r="E62">
            <v>3</v>
          </cell>
          <cell r="F62">
            <v>0.04</v>
          </cell>
        </row>
        <row r="63">
          <cell r="A63" t="str">
            <v>네이버&gt;여성&gt;미즈생각&gt;미즈생각홈&gt;&gt;확장 배너(50x50)</v>
          </cell>
          <cell r="B63" t="str">
            <v>-</v>
          </cell>
          <cell r="C63" t="str">
            <v>405*325</v>
          </cell>
          <cell r="D63" t="str">
            <v>150K</v>
          </cell>
          <cell r="E63">
            <v>7000000</v>
          </cell>
          <cell r="F63">
            <v>0.34</v>
          </cell>
        </row>
        <row r="64">
          <cell r="A64" t="str">
            <v>네이버&gt;여성&gt;미즈생각&gt;사랑방&gt;&gt;스폰서배너(150x50)</v>
          </cell>
          <cell r="B64" t="str">
            <v>-</v>
          </cell>
          <cell r="C64" t="str">
            <v>150*50</v>
          </cell>
          <cell r="D64" t="str">
            <v>150K</v>
          </cell>
          <cell r="E64">
            <v>10000000</v>
          </cell>
          <cell r="F64">
            <v>0</v>
          </cell>
        </row>
        <row r="65">
          <cell r="A65" t="str">
            <v>네이버&gt;이야기&gt;메일&gt;메일 서브&gt;&gt;빅보드(350x300)</v>
          </cell>
          <cell r="B65">
            <v>12850647</v>
          </cell>
          <cell r="C65" t="str">
            <v>350*300</v>
          </cell>
          <cell r="D65" t="str">
            <v>150K</v>
          </cell>
          <cell r="E65">
            <v>4</v>
          </cell>
          <cell r="F65">
            <v>0.25</v>
          </cell>
        </row>
        <row r="66">
          <cell r="A66" t="str">
            <v>네이버&gt;이야기&gt;메일&gt;메일 서브&gt;&gt;좌측 배너(175x130)</v>
          </cell>
          <cell r="B66">
            <v>326670602</v>
          </cell>
          <cell r="C66" t="str">
            <v>175*130</v>
          </cell>
          <cell r="D66" t="str">
            <v>130K</v>
          </cell>
          <cell r="E66">
            <v>1.5</v>
          </cell>
          <cell r="F66">
            <v>0.02</v>
          </cell>
        </row>
        <row r="67">
          <cell r="A67" t="str">
            <v>네이버&gt;이야기&gt;메일&gt;메일홈&gt;&gt;우측 배너(250x155)</v>
          </cell>
          <cell r="B67">
            <v>96056629</v>
          </cell>
          <cell r="C67" t="str">
            <v>250*155</v>
          </cell>
          <cell r="D67" t="str">
            <v>130K</v>
          </cell>
          <cell r="E67">
            <v>3</v>
          </cell>
          <cell r="F67">
            <v>0.02</v>
          </cell>
        </row>
        <row r="68">
          <cell r="A68" t="str">
            <v>네이버&gt;이야기&gt;모자이크&gt;&gt;우측 배너(240x240)</v>
          </cell>
          <cell r="B68">
            <v>275497</v>
          </cell>
          <cell r="C68" t="str">
            <v>240*240</v>
          </cell>
          <cell r="D68" t="str">
            <v>130K</v>
          </cell>
          <cell r="E68">
            <v>2</v>
          </cell>
          <cell r="F68">
            <v>0.13</v>
          </cell>
        </row>
        <row r="69">
          <cell r="A69" t="str">
            <v>네이버&gt;이야기&gt;붐&gt;&gt;우측 배너(250x155)</v>
          </cell>
          <cell r="B69">
            <v>116342478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0.04</v>
          </cell>
        </row>
        <row r="70">
          <cell r="A70" t="str">
            <v>네이버&gt;이야기&gt;붐&gt;붐홈&gt;&gt;좌측 배너(175x50)</v>
          </cell>
          <cell r="B70">
            <v>13777776</v>
          </cell>
          <cell r="C70" t="str">
            <v>175*50</v>
          </cell>
          <cell r="D70" t="str">
            <v>130K</v>
          </cell>
          <cell r="E70">
            <v>1.5</v>
          </cell>
          <cell r="F70">
            <v>0.02</v>
          </cell>
        </row>
        <row r="71">
          <cell r="A71" t="str">
            <v>네이버&gt;이야기&gt;블로그&gt;&gt;좌측 배너(175x50)</v>
          </cell>
          <cell r="B71">
            <v>62108553</v>
          </cell>
          <cell r="C71" t="str">
            <v>175*50</v>
          </cell>
          <cell r="D71" t="str">
            <v>130K</v>
          </cell>
          <cell r="E71">
            <v>1.5</v>
          </cell>
          <cell r="F71">
            <v>7.0000000000000007E-2</v>
          </cell>
        </row>
        <row r="72">
          <cell r="A72" t="str">
            <v>네이버&gt;이야기&gt;블로그&gt;블로그서브&gt;&gt;우측 배너(148x600)</v>
          </cell>
          <cell r="B72">
            <v>4563427</v>
          </cell>
          <cell r="C72" t="str">
            <v>148*600</v>
          </cell>
          <cell r="D72" t="str">
            <v>130K</v>
          </cell>
          <cell r="E72">
            <v>1.5</v>
          </cell>
          <cell r="F72">
            <v>0.1</v>
          </cell>
        </row>
        <row r="73">
          <cell r="A73" t="str">
            <v>네이버&gt;이야기&gt;블로그&gt;블로그홈&gt;&gt;우측 배너(240x240)</v>
          </cell>
          <cell r="B73">
            <v>47697566</v>
          </cell>
          <cell r="C73" t="str">
            <v>240*240</v>
          </cell>
          <cell r="D73" t="str">
            <v>130K</v>
          </cell>
          <cell r="E73">
            <v>3</v>
          </cell>
          <cell r="F73">
            <v>0.05</v>
          </cell>
        </row>
        <row r="74">
          <cell r="A74" t="str">
            <v>네이버&gt;이야기&gt;카페&gt;&gt;좌측 배너(175x50)</v>
          </cell>
          <cell r="B74">
            <v>94924800</v>
          </cell>
          <cell r="C74" t="str">
            <v>175*50</v>
          </cell>
          <cell r="D74" t="str">
            <v>130K</v>
          </cell>
          <cell r="E74">
            <v>1.5</v>
          </cell>
          <cell r="F74">
            <v>0.02</v>
          </cell>
        </row>
        <row r="75">
          <cell r="A75" t="str">
            <v>네이버&gt;이야기&gt;카페&gt;&gt;카페내 배너(175x130)</v>
          </cell>
          <cell r="B75">
            <v>262413357</v>
          </cell>
          <cell r="C75" t="str">
            <v>175*130</v>
          </cell>
          <cell r="D75" t="str">
            <v>130K</v>
          </cell>
          <cell r="E75">
            <v>1.5</v>
          </cell>
          <cell r="F75">
            <v>0.05</v>
          </cell>
        </row>
        <row r="76">
          <cell r="A76" t="str">
            <v>네이버&gt;이야기&gt;카페&gt;카페서브&gt;&gt;우측 배너(160x400)</v>
          </cell>
          <cell r="B76">
            <v>2472807</v>
          </cell>
          <cell r="C76" t="str">
            <v>160*400</v>
          </cell>
          <cell r="D76" t="str">
            <v>130K</v>
          </cell>
          <cell r="E76">
            <v>1.5</v>
          </cell>
          <cell r="F76">
            <v>0.08</v>
          </cell>
        </row>
        <row r="77">
          <cell r="A77" t="str">
            <v>네이버&gt;이야기&gt;카페&gt;카페홈&gt;&gt;우측 배너(240x240)</v>
          </cell>
          <cell r="B77">
            <v>76240319</v>
          </cell>
          <cell r="C77" t="str">
            <v>240*240</v>
          </cell>
          <cell r="D77" t="str">
            <v>130K</v>
          </cell>
          <cell r="E77">
            <v>3</v>
          </cell>
          <cell r="F77">
            <v>0.03</v>
          </cell>
        </row>
        <row r="78">
          <cell r="A78" t="str">
            <v>네이버&gt;이야기&gt;툰&gt;&gt;우측 배너(240x240)</v>
          </cell>
          <cell r="B78">
            <v>12424421</v>
          </cell>
          <cell r="C78" t="str">
            <v>240*240</v>
          </cell>
          <cell r="D78" t="str">
            <v>130K</v>
          </cell>
          <cell r="E78">
            <v>2</v>
          </cell>
          <cell r="F78">
            <v>0.05</v>
          </cell>
        </row>
        <row r="79">
          <cell r="A79" t="str">
            <v>네이버&gt;이야기&gt;포토&gt;&gt;우측 배너(250x155)</v>
          </cell>
          <cell r="B79">
            <v>2921986</v>
          </cell>
          <cell r="C79" t="str">
            <v>250*155</v>
          </cell>
          <cell r="D79" t="str">
            <v>130K</v>
          </cell>
          <cell r="E79">
            <v>3</v>
          </cell>
          <cell r="F79">
            <v>0.05</v>
          </cell>
        </row>
        <row r="80">
          <cell r="A80" t="str">
            <v>네이버&gt;이야기&gt;포토&gt;포토갤러리&gt;갤러리서브&gt;&gt;좌측 배너(175x130)</v>
          </cell>
          <cell r="B80">
            <v>23020441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0.03</v>
          </cell>
        </row>
        <row r="81">
          <cell r="A81" t="str">
            <v>네이버&gt;이야기&gt;포토&gt;포토갤러리&gt;갤러리홈&gt;&gt;좌측 배너(175x50)</v>
          </cell>
          <cell r="B81">
            <v>547503</v>
          </cell>
          <cell r="C81" t="str">
            <v>175*50</v>
          </cell>
          <cell r="D81" t="str">
            <v>130K</v>
          </cell>
          <cell r="E81">
            <v>1.5</v>
          </cell>
          <cell r="F81">
            <v>0.01</v>
          </cell>
        </row>
        <row r="82">
          <cell r="A82" t="str">
            <v>네이버&gt;이야기&gt;포토&gt;포토갤러리&gt;슬라이드쇼&gt;&gt;중앙 배너(550x365)</v>
          </cell>
          <cell r="B82">
            <v>13019</v>
          </cell>
          <cell r="C82" t="str">
            <v>550*365</v>
          </cell>
          <cell r="D82" t="str">
            <v>130K</v>
          </cell>
          <cell r="E82">
            <v>2</v>
          </cell>
          <cell r="F82">
            <v>0.52</v>
          </cell>
        </row>
        <row r="83">
          <cell r="A83" t="str">
            <v>네이버&gt;이야기&gt;포토&gt;포토앨범&gt;앨범서브&gt;&gt;우측 배너(148x600)</v>
          </cell>
          <cell r="B83">
            <v>130930289</v>
          </cell>
          <cell r="C83" t="str">
            <v>148*600</v>
          </cell>
          <cell r="D83" t="str">
            <v>130K</v>
          </cell>
          <cell r="E83">
            <v>1.5</v>
          </cell>
          <cell r="F83">
            <v>0.05</v>
          </cell>
        </row>
        <row r="84">
          <cell r="A84" t="str">
            <v>네이버&gt;이야기&gt;포토&gt;포토앨범&gt;앨범슬라이드&gt;&gt;좌측 배너(170x180)</v>
          </cell>
          <cell r="B84">
            <v>1110565</v>
          </cell>
          <cell r="C84" t="str">
            <v>170*180</v>
          </cell>
          <cell r="D84" t="str">
            <v>130K</v>
          </cell>
          <cell r="E84">
            <v>1.5</v>
          </cell>
          <cell r="F84">
            <v>0.17</v>
          </cell>
        </row>
        <row r="85">
          <cell r="A85" t="str">
            <v>네이버&gt;이야기&gt;플레이&gt;&gt;우측 배너(240x240)</v>
          </cell>
          <cell r="B85">
            <v>19712601</v>
          </cell>
          <cell r="C85" t="str">
            <v>240*240</v>
          </cell>
          <cell r="D85" t="str">
            <v>130K</v>
          </cell>
          <cell r="E85">
            <v>3</v>
          </cell>
          <cell r="F85">
            <v>0.16</v>
          </cell>
        </row>
        <row r="86">
          <cell r="A86" t="str">
            <v>네이버&gt;정보&gt;취업&gt;&gt;우측 배너(240x240)</v>
          </cell>
          <cell r="B86">
            <v>15745002</v>
          </cell>
          <cell r="C86" t="str">
            <v>148*600</v>
          </cell>
          <cell r="D86" t="str">
            <v>130K</v>
          </cell>
          <cell r="E86">
            <v>1.5</v>
          </cell>
          <cell r="F86">
            <v>0.04</v>
          </cell>
        </row>
        <row r="87">
          <cell r="A87" t="str">
            <v>네이버&gt;정보&gt;취업&gt;커뮤니티 게시판&gt;&gt;우측 배너(148x600)</v>
          </cell>
          <cell r="B87">
            <v>997525</v>
          </cell>
          <cell r="C87" t="str">
            <v>240*240</v>
          </cell>
          <cell r="D87" t="str">
            <v>130K</v>
          </cell>
          <cell r="E87">
            <v>2</v>
          </cell>
          <cell r="F87">
            <v>0.05</v>
          </cell>
        </row>
        <row r="88">
          <cell r="A88" t="str">
            <v>쥬니버&gt;&gt;서비스_우측 배너(100x400)</v>
          </cell>
          <cell r="B88">
            <v>1363998205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0.22</v>
          </cell>
        </row>
        <row r="89">
          <cell r="A89" t="str">
            <v>쥬니버&gt;검색&gt;&gt;우측배너(148x600)</v>
          </cell>
          <cell r="B89">
            <v>24043648</v>
          </cell>
          <cell r="C89" t="str">
            <v>100*400</v>
          </cell>
          <cell r="D89" t="str">
            <v>130K</v>
          </cell>
          <cell r="E89">
            <v>1</v>
          </cell>
          <cell r="F89">
            <v>0.28999999999999998</v>
          </cell>
        </row>
        <row r="90">
          <cell r="A90" t="str">
            <v>쥬니버&gt;쥬니버홈&gt;&gt;TI(555x320)</v>
          </cell>
          <cell r="B90" t="str">
            <v>-</v>
          </cell>
          <cell r="C90" t="str">
            <v>555*320</v>
          </cell>
          <cell r="D90" t="str">
            <v>150K</v>
          </cell>
          <cell r="E90">
            <v>10000000</v>
          </cell>
          <cell r="F90">
            <v>1.4</v>
          </cell>
        </row>
        <row r="91">
          <cell r="A91" t="str">
            <v>쥬니버&gt;쥬니버홈&gt;&gt;우측 배너(195x150)</v>
          </cell>
          <cell r="B91">
            <v>112058771</v>
          </cell>
          <cell r="C91" t="str">
            <v>195*150</v>
          </cell>
          <cell r="D91" t="str">
            <v>130K</v>
          </cell>
          <cell r="E91">
            <v>2</v>
          </cell>
          <cell r="F91">
            <v>0.28000000000000003</v>
          </cell>
        </row>
        <row r="92">
          <cell r="A92" t="str">
            <v>쥬니버&gt;쥬니버홈&gt;&gt;좌측 여백(85x145)</v>
          </cell>
          <cell r="B92">
            <v>89645603</v>
          </cell>
          <cell r="C92" t="str">
            <v>85*145</v>
          </cell>
          <cell r="D92" t="str">
            <v>130K</v>
          </cell>
          <cell r="E92">
            <v>1.5</v>
          </cell>
          <cell r="F92">
            <v>0.17</v>
          </cell>
        </row>
        <row r="93">
          <cell r="A93" t="str">
            <v>페이지그룹&gt;&gt;검색+사전(240x240)</v>
          </cell>
          <cell r="B93">
            <v>219605859</v>
          </cell>
          <cell r="C93" t="str">
            <v>240*240</v>
          </cell>
          <cell r="D93" t="str">
            <v>130K</v>
          </cell>
          <cell r="E93">
            <v>2</v>
          </cell>
          <cell r="F93">
            <v>0.12</v>
          </cell>
        </row>
        <row r="94">
          <cell r="A94" t="str">
            <v>페이지그룹&gt;&gt;네이버_내PC_우측배너(200x200)</v>
          </cell>
          <cell r="B94">
            <v>42936389</v>
          </cell>
          <cell r="C94" t="str">
            <v>200*200</v>
          </cell>
          <cell r="D94" t="str">
            <v>130K</v>
          </cell>
          <cell r="E94">
            <v>1.5</v>
          </cell>
          <cell r="F94">
            <v>0</v>
          </cell>
        </row>
        <row r="95">
          <cell r="A95" t="str">
            <v>페이지그룹&gt;&gt;네이버_빅보드(350x300)</v>
          </cell>
          <cell r="B95">
            <v>65294803</v>
          </cell>
          <cell r="C95" t="str">
            <v>350*300</v>
          </cell>
          <cell r="D95" t="str">
            <v>150K</v>
          </cell>
          <cell r="E95">
            <v>4</v>
          </cell>
          <cell r="F95">
            <v>0.24</v>
          </cell>
        </row>
        <row r="96">
          <cell r="A96" t="str">
            <v>페이지그룹&gt;&gt;여성(160x400)</v>
          </cell>
          <cell r="B96">
            <v>27068121</v>
          </cell>
          <cell r="C96" t="str">
            <v>160*400</v>
          </cell>
          <cell r="D96" t="str">
            <v>130K</v>
          </cell>
          <cell r="E96">
            <v>3</v>
          </cell>
          <cell r="F96">
            <v>0.06</v>
          </cell>
        </row>
        <row r="97">
          <cell r="A97" t="str">
            <v>페이지그룹&gt;&gt;여성텍스트</v>
          </cell>
          <cell r="B97">
            <v>9431397</v>
          </cell>
          <cell r="C97" t="str">
            <v>25/33자</v>
          </cell>
          <cell r="D97" t="str">
            <v>-</v>
          </cell>
          <cell r="E97">
            <v>0.5</v>
          </cell>
          <cell r="F97">
            <v>0.02</v>
          </cell>
        </row>
        <row r="98">
          <cell r="A98" t="str">
            <v>페이지그룹&gt;&gt;여행, 레저(160x400)</v>
          </cell>
          <cell r="B98">
            <v>23738606</v>
          </cell>
          <cell r="C98" t="str">
            <v>160*400</v>
          </cell>
          <cell r="D98" t="str">
            <v>130K</v>
          </cell>
          <cell r="E98">
            <v>3</v>
          </cell>
          <cell r="F98">
            <v>0.08</v>
          </cell>
        </row>
        <row r="99">
          <cell r="A99" t="str">
            <v>페이지그룹&gt;&gt;정보(240x240)</v>
          </cell>
          <cell r="B99">
            <v>7824292</v>
          </cell>
          <cell r="C99" t="str">
            <v>240*240</v>
          </cell>
          <cell r="D99" t="str">
            <v>130K</v>
          </cell>
          <cell r="E99">
            <v>1.5</v>
          </cell>
          <cell r="F99">
            <v>0.04</v>
          </cell>
        </row>
        <row r="100">
          <cell r="A100" t="str">
            <v>페이지그룹&gt;&gt;정보+도구(148x600)</v>
          </cell>
          <cell r="B100">
            <v>50639486</v>
          </cell>
          <cell r="C100" t="str">
            <v>148*600</v>
          </cell>
          <cell r="D100" t="str">
            <v>130K</v>
          </cell>
          <cell r="E100">
            <v>1.5</v>
          </cell>
          <cell r="F100">
            <v>0.04</v>
          </cell>
        </row>
        <row r="101">
          <cell r="A101" t="str">
            <v>페이지그룹&gt;&gt;커뮤니티 2.0(240x240)</v>
          </cell>
          <cell r="B101">
            <v>32412519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0.05</v>
          </cell>
        </row>
        <row r="102">
          <cell r="A102" t="str">
            <v>페이지그룹&gt;&gt;커뮤니티서브(175x130)</v>
          </cell>
          <cell r="B102">
            <v>612104400</v>
          </cell>
          <cell r="C102" t="str">
            <v>175*130</v>
          </cell>
          <cell r="D102" t="str">
            <v>130K</v>
          </cell>
          <cell r="E102">
            <v>1.5</v>
          </cell>
          <cell r="F102">
            <v>0.04</v>
          </cell>
        </row>
        <row r="103">
          <cell r="A103" t="str">
            <v>페이지그룹&gt;&gt;커뮤니티우측(148x600)</v>
          </cell>
          <cell r="B103">
            <v>135493716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0.06</v>
          </cell>
        </row>
        <row r="104">
          <cell r="A104" t="str">
            <v>페이지그룹&gt;&gt;커뮤니티좌측(175x50)</v>
          </cell>
          <cell r="B104">
            <v>171358632</v>
          </cell>
          <cell r="C104" t="str">
            <v>175*50</v>
          </cell>
          <cell r="D104" t="str">
            <v>130K</v>
          </cell>
          <cell r="E104">
            <v>1.5</v>
          </cell>
          <cell r="F104">
            <v>0.03</v>
          </cell>
        </row>
        <row r="105">
          <cell r="A105" t="str">
            <v>페이지그룹&gt;&gt;커뮤니티탑(240x240)</v>
          </cell>
          <cell r="B105">
            <v>123937885</v>
          </cell>
          <cell r="C105" t="str">
            <v>240*240</v>
          </cell>
          <cell r="D105" t="str">
            <v>130K</v>
          </cell>
          <cell r="E105">
            <v>3</v>
          </cell>
          <cell r="F105">
            <v>0.03</v>
          </cell>
        </row>
        <row r="106">
          <cell r="A106" t="str">
            <v>페이지그룹&gt;&gt;커뮤니티탑(250x155)</v>
          </cell>
          <cell r="B106">
            <v>215321093</v>
          </cell>
          <cell r="C106" t="str">
            <v>250*155</v>
          </cell>
          <cell r="D106" t="str">
            <v>130K</v>
          </cell>
          <cell r="E106">
            <v>3</v>
          </cell>
          <cell r="F106">
            <v>0.04</v>
          </cell>
        </row>
        <row r="107">
          <cell r="A107" t="str">
            <v>페이지그룹&gt;&gt;한게임_빅보드(350x300)</v>
          </cell>
          <cell r="B107">
            <v>42188164</v>
          </cell>
          <cell r="C107" t="str">
            <v>350*300</v>
          </cell>
          <cell r="D107" t="str">
            <v>150K</v>
          </cell>
          <cell r="E107">
            <v>4</v>
          </cell>
          <cell r="F107">
            <v>0.46</v>
          </cell>
        </row>
        <row r="108">
          <cell r="A108" t="str">
            <v>한게임&gt;로그인&gt;&gt;빅보드(350x300)</v>
          </cell>
          <cell r="B108">
            <v>42188164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0.43</v>
          </cell>
        </row>
        <row r="109">
          <cell r="A109" t="str">
            <v>한게임&gt;일반게임_SS&gt;&gt;우측 배너(250x100)</v>
          </cell>
          <cell r="B109">
            <v>89546726</v>
          </cell>
          <cell r="C109" t="str">
            <v>148*600</v>
          </cell>
          <cell r="D109" t="str">
            <v>130K</v>
          </cell>
          <cell r="E109">
            <v>1.5</v>
          </cell>
          <cell r="F109">
            <v>0.26</v>
          </cell>
        </row>
        <row r="110">
          <cell r="A110" t="str">
            <v>한게임&gt;클라이언트&gt;&gt;하단 배너(790x60)</v>
          </cell>
          <cell r="B110">
            <v>771069801</v>
          </cell>
          <cell r="C110" t="str">
            <v>790*60</v>
          </cell>
          <cell r="D110" t="str">
            <v>50K</v>
          </cell>
          <cell r="E110">
            <v>1.5</v>
          </cell>
          <cell r="F110">
            <v>0.06</v>
          </cell>
        </row>
        <row r="111">
          <cell r="A111" t="str">
            <v>한게임&gt;한게임홈&gt;&gt;우측 배너(200x200)</v>
          </cell>
          <cell r="B111">
            <v>79869437</v>
          </cell>
          <cell r="C111" t="str">
            <v>200*200</v>
          </cell>
          <cell r="D111" t="str">
            <v>130K</v>
          </cell>
          <cell r="E111">
            <v>2</v>
          </cell>
          <cell r="F111">
            <v>0.15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월간일정표"/>
      <sheetName val="NHN.Media Proposal.nhn.ver1.5"/>
      <sheetName val="MediaMix"/>
      <sheetName val="엔미즈_코리아"/>
      <sheetName val="Sheet1"/>
      <sheetName val="인원_20001101"/>
      <sheetName val="코드"/>
      <sheetName val="media_mix"/>
      <sheetName val="견적서"/>
      <sheetName val="기타"/>
      <sheetName val="용역단가기준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A2">
            <v>0</v>
          </cell>
        </row>
      </sheetData>
      <sheetData sheetId="27"/>
      <sheetData sheetId="28">
        <row r="2">
          <cell r="A2">
            <v>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  <sheetName val="Graph"/>
      <sheetName val="Code"/>
      <sheetName val="2011년 Movie DB"/>
      <sheetName val="견적서"/>
      <sheetName val="기타"/>
      <sheetName val="용역단가기준"/>
      <sheetName val="03동일자별"/>
      <sheetName val="주간남10대순위1"/>
      <sheetName val="주간여30대순위1"/>
      <sheetName val="Campaign_Booking"/>
      <sheetName val="1_온게임넷"/>
      <sheetName val="2_바둑TV"/>
      <sheetName val="3_SKY바둑"/>
      <sheetName val="4_FSTV"/>
      <sheetName val="5_투니버스"/>
      <sheetName val="6_애니맥스"/>
      <sheetName val="7_스페이스툰"/>
      <sheetName val="8_대교플러스"/>
      <sheetName val="9_엠플렉스"/>
      <sheetName val="10_QOOK+"/>
      <sheetName val="11_토마토TV"/>
      <sheetName val="12_한방건강TV"/>
      <sheetName val="13_푸드TV"/>
      <sheetName val="14_C3TV"/>
      <sheetName val="15_채널S"/>
      <sheetName val="16_브레인TV"/>
      <sheetName val="17_텔레노벨라"/>
      <sheetName val="18_히어로TV"/>
      <sheetName val="편성_파일"/>
      <sheetName val="2011년_Movie_DB"/>
      <sheetName val="시장"/>
      <sheetName val="캔개발배경"/>
      <sheetName val="일정표"/>
      <sheetName val="flatpricebycountry"/>
      <sheetName val="slopes"/>
      <sheetName val="Unit Price"/>
      <sheetName val="카테고리 분류"/>
      <sheetName val="Campaign_Booking1"/>
      <sheetName val="1_온게임넷1"/>
      <sheetName val="2_바둑TV1"/>
      <sheetName val="3_SKY바둑1"/>
      <sheetName val="4_FSTV1"/>
      <sheetName val="5_투니버스1"/>
      <sheetName val="6_애니맥스1"/>
      <sheetName val="7_스페이스툰1"/>
      <sheetName val="8_대교플러스1"/>
      <sheetName val="9_엠플렉스1"/>
      <sheetName val="10_QOOK+1"/>
      <sheetName val="11_토마토TV1"/>
      <sheetName val="12_한방건강TV1"/>
      <sheetName val="13_푸드TV1"/>
      <sheetName val="14_C3TV1"/>
      <sheetName val="15_채널S1"/>
      <sheetName val="16_브레인TV1"/>
      <sheetName val="17_텔레노벨라1"/>
      <sheetName val="18_히어로TV1"/>
      <sheetName val="편성_파일1"/>
      <sheetName val="2011년_Movie_DB1"/>
      <sheetName val="channel_shceduler_1005_주간편성"/>
      <sheetName val="11월 요약"/>
      <sheetName val="初期値"/>
      <sheetName val="첨부1"/>
      <sheetName val="Sheet3"/>
      <sheetName val="원본"/>
      <sheetName val="1-1. 자료연결"/>
      <sheetName val="bulk_data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>
        <row r="3">
          <cell r="C3" t="str">
            <v>경품 택배 배송비</v>
          </cell>
        </row>
      </sheetData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  <sheetName val="그래프 (2)"/>
      <sheetName val="종합표"/>
      <sheetName val="이자율"/>
      <sheetName val="연평잔"/>
      <sheetName val="채널"/>
      <sheetName val="새로운_원가"/>
      <sheetName val="그래프_(2)"/>
      <sheetName val="새로운_원가1"/>
      <sheetName val="그래프_(2)1"/>
      <sheetName val="엔미즈_코리아"/>
      <sheetName val="2011년 movie db"/>
      <sheetName val="2"/>
      <sheetName val="hide"/>
      <sheetName val="전체단가표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집행현황"/>
      <sheetName val="실적"/>
      <sheetName val="아침햇쌀"/>
      <sheetName val="참고"/>
      <sheetName val="양식(직판용)"/>
      <sheetName val="96월별PL"/>
      <sheetName val="BackData"/>
      <sheetName val="97손익"/>
      <sheetName val="98손익"/>
      <sheetName val="위스키3"/>
      <sheetName val="주류전체2"/>
      <sheetName val="S1.1총괄"/>
      <sheetName val="장기판매계획"/>
      <sheetName val="금액중량"/>
      <sheetName val="단가"/>
      <sheetName val="npv"/>
      <sheetName val="@제조원가"/>
      <sheetName val="점공통경비배부"/>
      <sheetName val="0.0ControlSheet"/>
      <sheetName val="매출속보"/>
      <sheetName val="준비"/>
      <sheetName val="신공항A-9(원가수정)"/>
      <sheetName val="주간계획"/>
      <sheetName val="밧데리"/>
      <sheetName val="과6"/>
      <sheetName val="할당"/>
      <sheetName val="일일근태 (2003-9(1))"/>
      <sheetName val="협조"/>
      <sheetName val="외화계약"/>
      <sheetName val="#REF"/>
      <sheetName val="부서실적"/>
      <sheetName val="호칭"/>
      <sheetName val="주문"/>
      <sheetName val="공동"/>
      <sheetName val="Sheet1"/>
      <sheetName val="당월손익계산서★"/>
      <sheetName val="손익(10월)"/>
      <sheetName val="물량투입계획"/>
      <sheetName val="보고"/>
      <sheetName val="대전전제"/>
      <sheetName val="대차대조표-공시형"/>
      <sheetName val="개발실"/>
      <sheetName val="부문별재고 (상품)"/>
      <sheetName val="①매출"/>
      <sheetName val="99손익"/>
      <sheetName val="3부손익당월"/>
      <sheetName val="회차별합계"/>
      <sheetName val="현금흐름표"/>
      <sheetName val="12월달"/>
      <sheetName val="갑지"/>
      <sheetName val="원가,목표"/>
      <sheetName val="S1_1총괄"/>
      <sheetName val="0_0ControlSheet"/>
      <sheetName val="일일근태_(2003-9(1))"/>
      <sheetName val="YOEMAGUM"/>
      <sheetName val="45,46"/>
      <sheetName val="년간업무"/>
      <sheetName val="9-1차이내역"/>
      <sheetName val="경비_물류기획"/>
      <sheetName val="부문별재고_(상품)"/>
      <sheetName val="S1_1총괄1"/>
      <sheetName val="0_0ControlSheet1"/>
      <sheetName val="일일근태_(2003-9(1))1"/>
      <sheetName val="재공실사분석"/>
      <sheetName val="FG"/>
      <sheetName val="97년추정손익계산서"/>
      <sheetName val="회사정보"/>
      <sheetName val="할빙수"/>
      <sheetName val="list price"/>
      <sheetName val="송산(직)"/>
      <sheetName val="반금(위)"/>
      <sheetName val="연교(위)"/>
      <sheetName val="안산(직)"/>
      <sheetName val="장춘(직)"/>
      <sheetName val="신규(위)"/>
      <sheetName val="4.경비 5.영업외수지"/>
      <sheetName val="일일근태_(2003-Ĺ(1))"/>
      <sheetName val="영업.일1"/>
      <sheetName val="내역"/>
      <sheetName val="AR"/>
      <sheetName val="호프"/>
      <sheetName val="수입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단기차입금"/>
      <sheetName val="대구역사"/>
      <sheetName val="점별(추정)"/>
      <sheetName val="퇴직율"/>
      <sheetName val="연습"/>
      <sheetName val="캔판매목표"/>
      <sheetName val="급여인상효과-연간부담분"/>
      <sheetName val="영업사원입력"/>
      <sheetName val="당년실적"/>
      <sheetName val="대차대조표"/>
      <sheetName val="depo-1"/>
      <sheetName val="영화별rawdata"/>
      <sheetName val="01.02월 성과급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부문별재고_(상품)1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실적피벗"/>
      <sheetName val="원본DB"/>
      <sheetName val="선택과정 미수료자"/>
      <sheetName val="의무과정 미수료자"/>
      <sheetName val="외주가공비0109"/>
      <sheetName val="칙촉"/>
      <sheetName val="경쟁사가격"/>
      <sheetName val="손익"/>
      <sheetName val="월별일수"/>
      <sheetName val="유림총괄"/>
      <sheetName val="임원,관리,별도"/>
      <sheetName val="현대물량"/>
      <sheetName val="명세"/>
      <sheetName val="탄산"/>
      <sheetName val="차량별점검"/>
      <sheetName val="입력"/>
      <sheetName val="N賃率-職"/>
      <sheetName val="05년점포별계획"/>
      <sheetName val="당년사별실적"/>
      <sheetName val="특판인센기초11"/>
      <sheetName val="그래프 (2)"/>
      <sheetName val="A1"/>
      <sheetName val="종합표"/>
      <sheetName val="★단가표★"/>
      <sheetName val="내역서"/>
      <sheetName val="캔판매가"/>
      <sheetName val="Sheet3"/>
      <sheetName val="@생산실적"/>
      <sheetName val="@인원"/>
      <sheetName val="99성력화(우선순위)"/>
      <sheetName val="model master"/>
      <sheetName val="Sheet12"/>
      <sheetName val="총괄"/>
      <sheetName val="스낵물량"/>
      <sheetName val="팀별"/>
      <sheetName val="부품"/>
      <sheetName val="2001Org"/>
      <sheetName val="실적(월간)"/>
      <sheetName val="1-2"/>
      <sheetName val="일반"/>
      <sheetName val="간부대상"/>
      <sheetName val="영업-차량운반구"/>
      <sheetName val="판매가격(정리)"/>
      <sheetName val="Total"/>
      <sheetName val="견적서"/>
      <sheetName val="예총"/>
      <sheetName val="신계좌부여"/>
      <sheetName val="월,누계 (2)"/>
      <sheetName val="PR제조"/>
      <sheetName val="⑤항목별2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계획표지"/>
      <sheetName val="매장구분"/>
      <sheetName val="유"/>
      <sheetName val="code"/>
      <sheetName val="나뚜루기초"/>
      <sheetName val="공사비집계"/>
      <sheetName val="단가현황"/>
      <sheetName val="리포트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011E-45EB-43A6-8432-04918B99D2E7}">
  <sheetPr>
    <tabColor rgb="FFC00000"/>
  </sheetPr>
  <dimension ref="A1:Q686"/>
  <sheetViews>
    <sheetView tabSelected="1" zoomScaleNormal="100" workbookViewId="0">
      <selection activeCell="T10" sqref="T10"/>
    </sheetView>
  </sheetViews>
  <sheetFormatPr defaultRowHeight="15.6" x14ac:dyDescent="0.4"/>
  <cols>
    <col min="1" max="1" width="11.09765625" style="1" bestFit="1" customWidth="1"/>
    <col min="2" max="2" width="10.296875" style="1" customWidth="1"/>
    <col min="3" max="3" width="19.09765625" style="1" customWidth="1"/>
    <col min="4" max="4" width="24.59765625" style="1" customWidth="1"/>
    <col min="5" max="5" width="10.796875" style="1" customWidth="1"/>
    <col min="6" max="6" width="9.3984375" style="1" customWidth="1"/>
    <col min="7" max="9" width="8.8984375" style="1" bestFit="1" customWidth="1"/>
    <col min="10" max="10" width="9.8984375" style="1" customWidth="1"/>
    <col min="11" max="11" width="8.8984375" style="1" bestFit="1" customWidth="1"/>
    <col min="12" max="12" width="9.8984375" style="1" bestFit="1" customWidth="1"/>
    <col min="13" max="16384" width="8.796875" style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3</v>
      </c>
      <c r="H1" s="1" t="s">
        <v>4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47</v>
      </c>
      <c r="N1" s="1" t="s">
        <v>48</v>
      </c>
      <c r="O1" s="1" t="s">
        <v>49</v>
      </c>
      <c r="P1" s="1" t="s">
        <v>46</v>
      </c>
      <c r="Q1" s="1" t="s">
        <v>45</v>
      </c>
    </row>
    <row r="2" spans="1:17" x14ac:dyDescent="0.4">
      <c r="A2" s="2">
        <v>46023</v>
      </c>
      <c r="B2" s="1" t="s">
        <v>13</v>
      </c>
      <c r="C2" s="1" t="s">
        <v>14</v>
      </c>
      <c r="D2" s="1" t="s">
        <v>31</v>
      </c>
      <c r="E2" s="7">
        <v>1420261.0669693549</v>
      </c>
      <c r="F2" s="4">
        <v>3</v>
      </c>
      <c r="G2" s="4">
        <v>17</v>
      </c>
      <c r="H2" s="4">
        <v>12</v>
      </c>
      <c r="I2" s="4">
        <v>6</v>
      </c>
      <c r="J2" s="4">
        <v>130000</v>
      </c>
      <c r="K2" s="4">
        <v>1</v>
      </c>
      <c r="L2" s="4">
        <v>20000</v>
      </c>
      <c r="M2" s="5">
        <f t="shared" ref="M2:M4" si="0">IFERROR(H2/G2,0)</f>
        <v>0.70588235294117652</v>
      </c>
      <c r="N2" s="5">
        <f t="shared" ref="N2:N4" si="1">IFERROR(G2/F2,0)</f>
        <v>5.666666666666667</v>
      </c>
      <c r="O2" s="5">
        <f t="shared" ref="O2:O4" si="2">IFERROR(I2/H2,0)</f>
        <v>0.5</v>
      </c>
      <c r="P2" s="3">
        <f t="shared" ref="P2:P4" si="3">IFERROR(E2/G2,0)</f>
        <v>83544.768645256176</v>
      </c>
      <c r="Q2" s="6">
        <f t="shared" ref="Q2:Q4" si="4">IFERROR(J2*12/E2,0)</f>
        <v>1.0983896103896089</v>
      </c>
    </row>
    <row r="3" spans="1:17" x14ac:dyDescent="0.4">
      <c r="A3" s="2">
        <v>46023</v>
      </c>
      <c r="B3" s="1" t="s">
        <v>11</v>
      </c>
      <c r="C3" s="1" t="s">
        <v>12</v>
      </c>
      <c r="D3" s="1" t="s">
        <v>32</v>
      </c>
      <c r="E3" s="7">
        <v>248120.30075187972</v>
      </c>
      <c r="F3" s="4">
        <v>6</v>
      </c>
      <c r="G3" s="4">
        <v>4</v>
      </c>
      <c r="H3" s="4">
        <v>3</v>
      </c>
      <c r="I3" s="4"/>
      <c r="J3" s="4"/>
      <c r="K3" s="4"/>
      <c r="L3" s="4"/>
      <c r="M3" s="5">
        <f t="shared" si="0"/>
        <v>0.75</v>
      </c>
      <c r="N3" s="5">
        <f t="shared" si="1"/>
        <v>0.66666666666666663</v>
      </c>
      <c r="O3" s="5">
        <f t="shared" si="2"/>
        <v>0</v>
      </c>
      <c r="P3" s="3">
        <f t="shared" si="3"/>
        <v>62030.075187969931</v>
      </c>
      <c r="Q3" s="6">
        <f t="shared" si="4"/>
        <v>0</v>
      </c>
    </row>
    <row r="4" spans="1:17" x14ac:dyDescent="0.4">
      <c r="A4" s="2">
        <v>46023</v>
      </c>
      <c r="B4" s="1" t="s">
        <v>17</v>
      </c>
      <c r="C4" s="1" t="s">
        <v>18</v>
      </c>
      <c r="D4" s="1" t="s">
        <v>53</v>
      </c>
      <c r="E4" s="7">
        <v>177419.35483870967</v>
      </c>
      <c r="F4" s="4">
        <v>4</v>
      </c>
      <c r="G4" s="4">
        <v>1</v>
      </c>
      <c r="H4" s="4">
        <v>1</v>
      </c>
      <c r="I4" s="4"/>
      <c r="J4" s="4"/>
      <c r="K4" s="4"/>
      <c r="L4" s="4"/>
      <c r="M4" s="5">
        <f t="shared" si="0"/>
        <v>1</v>
      </c>
      <c r="N4" s="5">
        <f t="shared" si="1"/>
        <v>0.25</v>
      </c>
      <c r="O4" s="5">
        <f t="shared" si="2"/>
        <v>0</v>
      </c>
      <c r="P4" s="3">
        <f t="shared" si="3"/>
        <v>177419.35483870967</v>
      </c>
      <c r="Q4" s="6">
        <f t="shared" si="4"/>
        <v>0</v>
      </c>
    </row>
    <row r="5" spans="1:17" x14ac:dyDescent="0.4">
      <c r="A5" s="2">
        <v>46023</v>
      </c>
      <c r="B5" s="1" t="s">
        <v>25</v>
      </c>
      <c r="C5" s="1" t="s">
        <v>35</v>
      </c>
      <c r="D5" s="1" t="s">
        <v>32</v>
      </c>
      <c r="E5" s="7">
        <v>0</v>
      </c>
      <c r="F5" s="4">
        <v>5</v>
      </c>
      <c r="G5" s="4">
        <v>1</v>
      </c>
      <c r="H5" s="4"/>
      <c r="I5" s="4">
        <v>1</v>
      </c>
      <c r="J5" s="4">
        <v>20000</v>
      </c>
      <c r="K5" s="4"/>
      <c r="L5" s="4"/>
      <c r="M5" s="5">
        <f t="shared" ref="M5:M28" si="5">IFERROR(H5/G5,0)</f>
        <v>0</v>
      </c>
      <c r="N5" s="5">
        <f t="shared" ref="N5:N28" si="6">IFERROR(G5/F5,0)</f>
        <v>0.2</v>
      </c>
      <c r="O5" s="5">
        <f t="shared" ref="O5:O28" si="7">IFERROR(I5/H5,0)</f>
        <v>0</v>
      </c>
      <c r="P5" s="3">
        <f t="shared" ref="P5:P28" si="8">IFERROR(E5/G5,0)</f>
        <v>0</v>
      </c>
      <c r="Q5" s="6">
        <f t="shared" ref="Q5:Q28" si="9">IFERROR(J5*12/E5,0)</f>
        <v>0</v>
      </c>
    </row>
    <row r="6" spans="1:17" x14ac:dyDescent="0.4">
      <c r="A6" s="2">
        <v>46023</v>
      </c>
      <c r="B6" s="1" t="s">
        <v>24</v>
      </c>
      <c r="C6" s="1" t="s">
        <v>6</v>
      </c>
      <c r="D6" s="1" t="s">
        <v>69</v>
      </c>
      <c r="E6" s="7">
        <v>184256</v>
      </c>
      <c r="F6" s="4">
        <v>5</v>
      </c>
      <c r="G6" s="4">
        <v>2</v>
      </c>
      <c r="H6" s="4">
        <v>1</v>
      </c>
      <c r="I6" s="4" t="s">
        <v>68</v>
      </c>
      <c r="J6" s="4" t="s">
        <v>68</v>
      </c>
      <c r="K6" s="4" t="s">
        <v>68</v>
      </c>
      <c r="L6" s="4" t="s">
        <v>68</v>
      </c>
      <c r="M6" s="5">
        <f t="shared" si="5"/>
        <v>0.5</v>
      </c>
      <c r="N6" s="5">
        <f t="shared" si="6"/>
        <v>0.4</v>
      </c>
      <c r="O6" s="5">
        <f t="shared" si="7"/>
        <v>0</v>
      </c>
      <c r="P6" s="3">
        <f t="shared" si="8"/>
        <v>92128</v>
      </c>
      <c r="Q6" s="6">
        <f t="shared" si="9"/>
        <v>0</v>
      </c>
    </row>
    <row r="7" spans="1:17" x14ac:dyDescent="0.4">
      <c r="A7" s="2">
        <v>46023</v>
      </c>
      <c r="B7" s="1" t="s">
        <v>9</v>
      </c>
      <c r="C7" s="1" t="s">
        <v>6</v>
      </c>
      <c r="D7" s="1" t="s">
        <v>70</v>
      </c>
      <c r="E7" s="7">
        <v>331660</v>
      </c>
      <c r="F7" s="4">
        <v>9</v>
      </c>
      <c r="G7" s="4">
        <v>2</v>
      </c>
      <c r="H7" s="4">
        <v>2</v>
      </c>
      <c r="I7" s="4" t="s">
        <v>68</v>
      </c>
      <c r="J7" s="4" t="s">
        <v>68</v>
      </c>
      <c r="K7" s="4">
        <v>1</v>
      </c>
      <c r="L7" s="4">
        <v>20000</v>
      </c>
      <c r="M7" s="5">
        <f t="shared" ref="M7:M15" si="10">IFERROR(H7/G7,0)</f>
        <v>1</v>
      </c>
      <c r="N7" s="5">
        <f t="shared" ref="N7:N15" si="11">IFERROR(G7/F7,0)</f>
        <v>0.22222222222222221</v>
      </c>
      <c r="O7" s="5">
        <f t="shared" ref="O7:O15" si="12">IFERROR(I7/H7,0)</f>
        <v>0</v>
      </c>
      <c r="P7" s="3">
        <f t="shared" ref="P7:P15" si="13">IFERROR(E7/G7,0)</f>
        <v>165830</v>
      </c>
      <c r="Q7" s="6">
        <f t="shared" ref="Q7:Q15" si="14">IFERROR(J7*12/E7,0)</f>
        <v>0</v>
      </c>
    </row>
    <row r="8" spans="1:17" x14ac:dyDescent="0.4">
      <c r="A8" s="2">
        <v>46023</v>
      </c>
      <c r="B8" s="1" t="s">
        <v>15</v>
      </c>
      <c r="C8" s="1" t="s">
        <v>6</v>
      </c>
      <c r="D8" s="1" t="s">
        <v>44</v>
      </c>
      <c r="E8" s="7">
        <v>331660</v>
      </c>
      <c r="F8" s="4">
        <v>9</v>
      </c>
      <c r="G8" s="4" t="s">
        <v>68</v>
      </c>
      <c r="H8" s="4" t="s">
        <v>68</v>
      </c>
      <c r="I8" s="4" t="s">
        <v>68</v>
      </c>
      <c r="J8" s="4" t="s">
        <v>68</v>
      </c>
      <c r="K8" s="4" t="s">
        <v>68</v>
      </c>
      <c r="L8" s="4" t="s">
        <v>68</v>
      </c>
      <c r="M8" s="5">
        <f t="shared" si="10"/>
        <v>0</v>
      </c>
      <c r="N8" s="5">
        <f t="shared" si="11"/>
        <v>0</v>
      </c>
      <c r="O8" s="5">
        <f t="shared" si="12"/>
        <v>0</v>
      </c>
      <c r="P8" s="3">
        <f t="shared" si="13"/>
        <v>0</v>
      </c>
      <c r="Q8" s="6">
        <f t="shared" si="14"/>
        <v>0</v>
      </c>
    </row>
    <row r="9" spans="1:17" x14ac:dyDescent="0.4">
      <c r="A9" s="2">
        <v>46023</v>
      </c>
      <c r="B9" s="1" t="s">
        <v>10</v>
      </c>
      <c r="C9" s="1" t="s">
        <v>6</v>
      </c>
      <c r="D9" s="1" t="s">
        <v>33</v>
      </c>
      <c r="E9" s="7">
        <v>184256</v>
      </c>
      <c r="F9" s="4">
        <v>5</v>
      </c>
      <c r="G9" s="4">
        <v>1</v>
      </c>
      <c r="H9" s="4">
        <v>1</v>
      </c>
      <c r="I9" s="4" t="s">
        <v>68</v>
      </c>
      <c r="J9" s="4" t="s">
        <v>68</v>
      </c>
      <c r="K9" s="4" t="s">
        <v>68</v>
      </c>
      <c r="L9" s="4" t="s">
        <v>68</v>
      </c>
      <c r="M9" s="5">
        <f t="shared" si="10"/>
        <v>1</v>
      </c>
      <c r="N9" s="5">
        <f t="shared" si="11"/>
        <v>0.2</v>
      </c>
      <c r="O9" s="5">
        <f t="shared" si="12"/>
        <v>0</v>
      </c>
      <c r="P9" s="3">
        <f t="shared" si="13"/>
        <v>184256</v>
      </c>
      <c r="Q9" s="6">
        <f t="shared" si="14"/>
        <v>0</v>
      </c>
    </row>
    <row r="10" spans="1:17" x14ac:dyDescent="0.4">
      <c r="A10" s="2">
        <v>46023</v>
      </c>
      <c r="B10" s="1" t="s">
        <v>74</v>
      </c>
      <c r="C10" s="1" t="s">
        <v>6</v>
      </c>
      <c r="D10" s="1" t="s">
        <v>71</v>
      </c>
      <c r="E10" s="7">
        <v>184256</v>
      </c>
      <c r="F10" s="4">
        <v>5</v>
      </c>
      <c r="G10" s="4">
        <v>2</v>
      </c>
      <c r="H10" s="4">
        <v>2</v>
      </c>
      <c r="I10" s="4">
        <v>1</v>
      </c>
      <c r="J10" s="4">
        <v>25000</v>
      </c>
      <c r="K10" s="4" t="s">
        <v>68</v>
      </c>
      <c r="L10" s="4" t="s">
        <v>68</v>
      </c>
      <c r="M10" s="5">
        <f t="shared" si="10"/>
        <v>1</v>
      </c>
      <c r="N10" s="5">
        <f t="shared" si="11"/>
        <v>0.4</v>
      </c>
      <c r="O10" s="5">
        <f t="shared" si="12"/>
        <v>0.5</v>
      </c>
      <c r="P10" s="3">
        <f t="shared" si="13"/>
        <v>92128</v>
      </c>
      <c r="Q10" s="6">
        <f t="shared" si="14"/>
        <v>1.628169503299757</v>
      </c>
    </row>
    <row r="11" spans="1:17" x14ac:dyDescent="0.4">
      <c r="A11" s="2">
        <v>46023</v>
      </c>
      <c r="B11" s="1" t="s">
        <v>75</v>
      </c>
      <c r="C11" s="1" t="s">
        <v>6</v>
      </c>
      <c r="D11" s="1" t="s">
        <v>72</v>
      </c>
      <c r="E11" s="7">
        <v>184256</v>
      </c>
      <c r="F11" s="4">
        <v>5</v>
      </c>
      <c r="G11" s="4" t="s">
        <v>68</v>
      </c>
      <c r="H11" s="4" t="s">
        <v>68</v>
      </c>
      <c r="I11" s="4" t="s">
        <v>68</v>
      </c>
      <c r="J11" s="4" t="s">
        <v>68</v>
      </c>
      <c r="K11" s="4" t="s">
        <v>68</v>
      </c>
      <c r="L11" s="4" t="s">
        <v>68</v>
      </c>
      <c r="M11" s="5">
        <f t="shared" si="10"/>
        <v>0</v>
      </c>
      <c r="N11" s="5">
        <f t="shared" si="11"/>
        <v>0</v>
      </c>
      <c r="O11" s="5">
        <f t="shared" si="12"/>
        <v>0</v>
      </c>
      <c r="P11" s="3">
        <f t="shared" si="13"/>
        <v>0</v>
      </c>
      <c r="Q11" s="6">
        <f t="shared" si="14"/>
        <v>0</v>
      </c>
    </row>
    <row r="12" spans="1:17" x14ac:dyDescent="0.4">
      <c r="A12" s="2">
        <v>46023</v>
      </c>
      <c r="B12" s="1" t="s">
        <v>76</v>
      </c>
      <c r="C12" s="1" t="s">
        <v>6</v>
      </c>
      <c r="D12" s="1" t="s">
        <v>73</v>
      </c>
      <c r="E12" s="7">
        <v>184256</v>
      </c>
      <c r="F12" s="4">
        <v>5</v>
      </c>
      <c r="G12" s="4" t="s">
        <v>68</v>
      </c>
      <c r="H12" s="4" t="s">
        <v>68</v>
      </c>
      <c r="I12" s="4" t="s">
        <v>68</v>
      </c>
      <c r="J12" s="4" t="s">
        <v>68</v>
      </c>
      <c r="K12" s="4" t="s">
        <v>68</v>
      </c>
      <c r="L12" s="4" t="s">
        <v>68</v>
      </c>
      <c r="M12" s="5">
        <f t="shared" ref="M12:M13" si="15">IFERROR(H12/G12,0)</f>
        <v>0</v>
      </c>
      <c r="N12" s="5">
        <f t="shared" ref="N12:N13" si="16">IFERROR(G12/F12,0)</f>
        <v>0</v>
      </c>
      <c r="O12" s="5">
        <f t="shared" ref="O12:O13" si="17">IFERROR(I12/H12,0)</f>
        <v>0</v>
      </c>
      <c r="P12" s="3">
        <f t="shared" ref="P12:P13" si="18">IFERROR(E12/G12,0)</f>
        <v>0</v>
      </c>
      <c r="Q12" s="6">
        <f t="shared" ref="Q12:Q13" si="19">IFERROR(J12*12/E12,0)</f>
        <v>0</v>
      </c>
    </row>
    <row r="13" spans="1:17" x14ac:dyDescent="0.4">
      <c r="A13" s="2">
        <v>46023</v>
      </c>
      <c r="B13" s="1" t="s">
        <v>5</v>
      </c>
      <c r="C13" s="1" t="s">
        <v>6</v>
      </c>
      <c r="D13" s="1" t="s">
        <v>52</v>
      </c>
      <c r="E13" s="7">
        <v>147405</v>
      </c>
      <c r="F13" s="4">
        <v>4</v>
      </c>
      <c r="G13" s="4">
        <v>4</v>
      </c>
      <c r="H13" s="4">
        <v>3</v>
      </c>
      <c r="I13" s="4">
        <v>3</v>
      </c>
      <c r="J13" s="4">
        <v>55000</v>
      </c>
      <c r="K13" s="4" t="s">
        <v>68</v>
      </c>
      <c r="L13" s="4" t="s">
        <v>68</v>
      </c>
      <c r="M13" s="5">
        <f t="shared" si="15"/>
        <v>0.75</v>
      </c>
      <c r="N13" s="5">
        <f t="shared" si="16"/>
        <v>1</v>
      </c>
      <c r="O13" s="5">
        <f t="shared" si="17"/>
        <v>1</v>
      </c>
      <c r="P13" s="3">
        <f t="shared" si="18"/>
        <v>36851.25</v>
      </c>
      <c r="Q13" s="6">
        <f t="shared" si="19"/>
        <v>4.4774600590210643</v>
      </c>
    </row>
    <row r="14" spans="1:17" x14ac:dyDescent="0.4">
      <c r="A14" s="2">
        <v>46023</v>
      </c>
      <c r="B14" s="1" t="s">
        <v>26</v>
      </c>
      <c r="C14" s="1" t="s">
        <v>36</v>
      </c>
      <c r="D14" s="1" t="s">
        <v>52</v>
      </c>
      <c r="E14" s="7">
        <v>0</v>
      </c>
      <c r="F14" s="4">
        <v>1</v>
      </c>
      <c r="G14" s="4">
        <v>1</v>
      </c>
      <c r="H14" s="4">
        <v>1</v>
      </c>
      <c r="I14" s="4"/>
      <c r="J14" s="4"/>
      <c r="K14" s="4">
        <v>1</v>
      </c>
      <c r="L14" s="4">
        <v>20000</v>
      </c>
      <c r="M14" s="5">
        <f t="shared" si="10"/>
        <v>1</v>
      </c>
      <c r="N14" s="5">
        <f t="shared" si="11"/>
        <v>1</v>
      </c>
      <c r="O14" s="5">
        <f t="shared" si="12"/>
        <v>0</v>
      </c>
      <c r="P14" s="3">
        <f t="shared" si="13"/>
        <v>0</v>
      </c>
      <c r="Q14" s="6">
        <f t="shared" si="14"/>
        <v>0</v>
      </c>
    </row>
    <row r="15" spans="1:17" x14ac:dyDescent="0.4">
      <c r="A15" s="2">
        <v>46023</v>
      </c>
      <c r="B15" s="1" t="s">
        <v>51</v>
      </c>
      <c r="C15" s="1" t="s">
        <v>50</v>
      </c>
      <c r="D15" s="1" t="s">
        <v>54</v>
      </c>
      <c r="E15" s="7">
        <v>285714.28571428574</v>
      </c>
      <c r="F15" s="4">
        <v>4</v>
      </c>
      <c r="G15" s="4"/>
      <c r="H15" s="4"/>
      <c r="I15" s="4"/>
      <c r="J15" s="4"/>
      <c r="K15" s="4"/>
      <c r="L15" s="4"/>
      <c r="M15" s="5">
        <f t="shared" si="10"/>
        <v>0</v>
      </c>
      <c r="N15" s="5">
        <f t="shared" si="11"/>
        <v>0</v>
      </c>
      <c r="O15" s="5">
        <f t="shared" si="12"/>
        <v>0</v>
      </c>
      <c r="P15" s="3">
        <f t="shared" si="13"/>
        <v>0</v>
      </c>
      <c r="Q15" s="6">
        <f t="shared" si="14"/>
        <v>0</v>
      </c>
    </row>
    <row r="16" spans="1:17" x14ac:dyDescent="0.4">
      <c r="A16" s="2">
        <v>46023</v>
      </c>
      <c r="B16" s="1" t="s">
        <v>56</v>
      </c>
      <c r="C16" s="1" t="s">
        <v>57</v>
      </c>
      <c r="D16" s="1" t="s">
        <v>59</v>
      </c>
      <c r="E16" s="7">
        <v>122222.22222222223</v>
      </c>
      <c r="F16" s="4">
        <v>4</v>
      </c>
      <c r="G16" s="4"/>
      <c r="H16" s="4"/>
      <c r="I16" s="4"/>
      <c r="J16" s="4"/>
      <c r="K16" s="4"/>
      <c r="L16" s="4"/>
      <c r="M16" s="5">
        <f t="shared" si="5"/>
        <v>0</v>
      </c>
      <c r="N16" s="5">
        <f t="shared" si="6"/>
        <v>0</v>
      </c>
      <c r="O16" s="5">
        <f t="shared" si="7"/>
        <v>0</v>
      </c>
      <c r="P16" s="3">
        <f t="shared" si="8"/>
        <v>0</v>
      </c>
      <c r="Q16" s="6">
        <f t="shared" si="9"/>
        <v>0</v>
      </c>
    </row>
    <row r="17" spans="1:17" x14ac:dyDescent="0.4">
      <c r="A17" s="2">
        <v>46023</v>
      </c>
      <c r="B17" s="1" t="s">
        <v>16</v>
      </c>
      <c r="C17" s="1" t="s">
        <v>58</v>
      </c>
      <c r="D17" s="1" t="s">
        <v>53</v>
      </c>
      <c r="E17" s="7">
        <v>206250.00000000003</v>
      </c>
      <c r="F17" s="4">
        <v>3</v>
      </c>
      <c r="G17" s="4"/>
      <c r="H17" s="4"/>
      <c r="I17" s="4"/>
      <c r="J17" s="4"/>
      <c r="K17" s="4"/>
      <c r="L17" s="4"/>
      <c r="M17" s="5">
        <f t="shared" si="5"/>
        <v>0</v>
      </c>
      <c r="N17" s="5">
        <f t="shared" si="6"/>
        <v>0</v>
      </c>
      <c r="O17" s="5">
        <f t="shared" si="7"/>
        <v>0</v>
      </c>
      <c r="P17" s="3">
        <f t="shared" si="8"/>
        <v>0</v>
      </c>
      <c r="Q17" s="6">
        <f t="shared" si="9"/>
        <v>0</v>
      </c>
    </row>
    <row r="18" spans="1:17" x14ac:dyDescent="0.4">
      <c r="A18" s="2">
        <v>46023</v>
      </c>
      <c r="B18" s="1" t="s">
        <v>19</v>
      </c>
      <c r="C18" s="1" t="s">
        <v>20</v>
      </c>
      <c r="D18" s="1" t="s">
        <v>34</v>
      </c>
      <c r="E18" s="7">
        <v>187234.04255319148</v>
      </c>
      <c r="F18" s="4">
        <v>4</v>
      </c>
      <c r="G18" s="4">
        <v>3</v>
      </c>
      <c r="H18" s="4">
        <v>3</v>
      </c>
      <c r="I18" s="4">
        <v>2</v>
      </c>
      <c r="J18" s="4">
        <v>40000</v>
      </c>
      <c r="K18" s="4"/>
      <c r="L18" s="4"/>
      <c r="M18" s="5">
        <f t="shared" si="5"/>
        <v>1</v>
      </c>
      <c r="N18" s="5">
        <f t="shared" si="6"/>
        <v>0.75</v>
      </c>
      <c r="O18" s="5">
        <f t="shared" si="7"/>
        <v>0.66666666666666663</v>
      </c>
      <c r="P18" s="3">
        <f t="shared" si="8"/>
        <v>62411.347517730494</v>
      </c>
      <c r="Q18" s="6">
        <f t="shared" si="9"/>
        <v>2.5636363636363639</v>
      </c>
    </row>
    <row r="19" spans="1:17" x14ac:dyDescent="0.4">
      <c r="A19" s="2">
        <v>46023</v>
      </c>
      <c r="B19" s="1" t="s">
        <v>23</v>
      </c>
      <c r="C19" s="1" t="s">
        <v>37</v>
      </c>
      <c r="D19" s="1" t="s">
        <v>32</v>
      </c>
      <c r="E19" s="7">
        <v>0</v>
      </c>
      <c r="F19" s="4">
        <v>7</v>
      </c>
      <c r="G19" s="4"/>
      <c r="H19" s="4"/>
      <c r="I19" s="4"/>
      <c r="J19" s="4"/>
      <c r="K19" s="4"/>
      <c r="L19" s="4"/>
      <c r="M19" s="5">
        <f t="shared" si="5"/>
        <v>0</v>
      </c>
      <c r="N19" s="5">
        <f t="shared" si="6"/>
        <v>0</v>
      </c>
      <c r="O19" s="5">
        <f t="shared" si="7"/>
        <v>0</v>
      </c>
      <c r="P19" s="3">
        <f t="shared" si="8"/>
        <v>0</v>
      </c>
      <c r="Q19" s="6">
        <f t="shared" si="9"/>
        <v>0</v>
      </c>
    </row>
    <row r="20" spans="1:17" x14ac:dyDescent="0.4">
      <c r="A20" s="2">
        <v>46023</v>
      </c>
      <c r="B20" s="1" t="s">
        <v>21</v>
      </c>
      <c r="C20" s="1" t="s">
        <v>22</v>
      </c>
      <c r="D20" s="1" t="s">
        <v>32</v>
      </c>
      <c r="E20" s="7">
        <v>283870.96774193551</v>
      </c>
      <c r="F20" s="4">
        <v>9</v>
      </c>
      <c r="G20" s="4">
        <v>1</v>
      </c>
      <c r="H20" s="4">
        <v>1</v>
      </c>
      <c r="I20" s="4">
        <v>1</v>
      </c>
      <c r="J20" s="4">
        <v>20000</v>
      </c>
      <c r="K20" s="4"/>
      <c r="L20" s="4"/>
      <c r="M20" s="5">
        <f t="shared" si="5"/>
        <v>1</v>
      </c>
      <c r="N20" s="5">
        <f t="shared" si="6"/>
        <v>0.1111111111111111</v>
      </c>
      <c r="O20" s="5">
        <f t="shared" si="7"/>
        <v>1</v>
      </c>
      <c r="P20" s="3">
        <f t="shared" si="8"/>
        <v>283870.96774193551</v>
      </c>
      <c r="Q20" s="6">
        <f t="shared" si="9"/>
        <v>0.84545454545454535</v>
      </c>
    </row>
    <row r="21" spans="1:17" x14ac:dyDescent="0.4">
      <c r="A21" s="2">
        <v>46023</v>
      </c>
      <c r="B21" s="1" t="s">
        <v>60</v>
      </c>
      <c r="C21" s="1" t="s">
        <v>63</v>
      </c>
      <c r="D21" s="1" t="s">
        <v>66</v>
      </c>
      <c r="E21" s="7">
        <v>225409.83606557379</v>
      </c>
      <c r="F21" s="4">
        <v>4</v>
      </c>
      <c r="G21" s="4">
        <v>1</v>
      </c>
      <c r="H21" s="4">
        <v>1</v>
      </c>
      <c r="I21" s="4">
        <v>1</v>
      </c>
      <c r="J21" s="4">
        <v>20000</v>
      </c>
      <c r="K21" s="4"/>
      <c r="L21" s="4"/>
      <c r="M21" s="5">
        <f t="shared" si="5"/>
        <v>1</v>
      </c>
      <c r="N21" s="5">
        <f t="shared" si="6"/>
        <v>0.25</v>
      </c>
      <c r="O21" s="5">
        <f t="shared" si="7"/>
        <v>1</v>
      </c>
      <c r="P21" s="3">
        <f t="shared" si="8"/>
        <v>225409.83606557379</v>
      </c>
      <c r="Q21" s="6">
        <f t="shared" si="9"/>
        <v>1.0647272727272725</v>
      </c>
    </row>
    <row r="22" spans="1:17" x14ac:dyDescent="0.4">
      <c r="A22" s="2">
        <v>46023</v>
      </c>
      <c r="B22" s="1" t="s">
        <v>61</v>
      </c>
      <c r="C22" s="1" t="s">
        <v>64</v>
      </c>
      <c r="D22" s="1" t="s">
        <v>66</v>
      </c>
      <c r="E22" s="7">
        <v>0</v>
      </c>
      <c r="F22" s="4">
        <v>8</v>
      </c>
      <c r="G22" s="4"/>
      <c r="H22" s="4"/>
      <c r="I22" s="4"/>
      <c r="J22" s="4"/>
      <c r="K22" s="4"/>
      <c r="L22" s="4"/>
      <c r="M22" s="5">
        <f t="shared" si="5"/>
        <v>0</v>
      </c>
      <c r="N22" s="5">
        <f t="shared" si="6"/>
        <v>0</v>
      </c>
      <c r="O22" s="5">
        <f t="shared" si="7"/>
        <v>0</v>
      </c>
      <c r="P22" s="3">
        <f t="shared" si="8"/>
        <v>0</v>
      </c>
      <c r="Q22" s="6">
        <f t="shared" si="9"/>
        <v>0</v>
      </c>
    </row>
    <row r="23" spans="1:17" x14ac:dyDescent="0.4">
      <c r="A23" s="2">
        <v>46023</v>
      </c>
      <c r="B23" s="1" t="s">
        <v>62</v>
      </c>
      <c r="C23" s="1" t="s">
        <v>65</v>
      </c>
      <c r="D23" s="1" t="s">
        <v>67</v>
      </c>
      <c r="E23" s="7">
        <v>528846.15384615399</v>
      </c>
      <c r="F23" s="4">
        <v>4</v>
      </c>
      <c r="G23" s="4">
        <v>1</v>
      </c>
      <c r="H23" s="4">
        <v>1</v>
      </c>
      <c r="I23" s="4"/>
      <c r="J23" s="4"/>
      <c r="K23" s="4">
        <v>1</v>
      </c>
      <c r="L23" s="4">
        <v>120000</v>
      </c>
      <c r="M23" s="5">
        <f t="shared" si="5"/>
        <v>1</v>
      </c>
      <c r="N23" s="5">
        <f t="shared" si="6"/>
        <v>0.25</v>
      </c>
      <c r="O23" s="5">
        <f t="shared" si="7"/>
        <v>0</v>
      </c>
      <c r="P23" s="3">
        <f t="shared" si="8"/>
        <v>528846.15384615399</v>
      </c>
      <c r="Q23" s="6">
        <f t="shared" si="9"/>
        <v>0</v>
      </c>
    </row>
    <row r="24" spans="1:17" x14ac:dyDescent="0.4">
      <c r="A24" s="2">
        <v>46023</v>
      </c>
      <c r="B24" s="1" t="s">
        <v>42</v>
      </c>
      <c r="C24" s="1" t="s">
        <v>38</v>
      </c>
      <c r="D24" s="1" t="s">
        <v>42</v>
      </c>
      <c r="E24" s="7">
        <v>0</v>
      </c>
      <c r="F24" s="4">
        <v>0</v>
      </c>
      <c r="G24" s="4"/>
      <c r="H24" s="4"/>
      <c r="I24" s="4">
        <v>1</v>
      </c>
      <c r="J24" s="4">
        <v>30000</v>
      </c>
      <c r="K24" s="4"/>
      <c r="L24" s="4"/>
      <c r="M24" s="5">
        <f t="shared" si="5"/>
        <v>0</v>
      </c>
      <c r="N24" s="5">
        <f t="shared" si="6"/>
        <v>0</v>
      </c>
      <c r="O24" s="5">
        <f t="shared" si="7"/>
        <v>0</v>
      </c>
      <c r="P24" s="3">
        <f t="shared" si="8"/>
        <v>0</v>
      </c>
      <c r="Q24" s="6">
        <f t="shared" si="9"/>
        <v>0</v>
      </c>
    </row>
    <row r="25" spans="1:17" x14ac:dyDescent="0.4">
      <c r="A25" s="2">
        <v>46023</v>
      </c>
      <c r="B25" s="1" t="s">
        <v>7</v>
      </c>
      <c r="C25" s="1" t="s">
        <v>8</v>
      </c>
      <c r="D25" s="1" t="s">
        <v>42</v>
      </c>
      <c r="E25" s="7">
        <v>0</v>
      </c>
      <c r="F25" s="4">
        <v>0</v>
      </c>
      <c r="G25" s="3">
        <v>2</v>
      </c>
      <c r="H25" s="3">
        <v>1</v>
      </c>
      <c r="I25" s="3"/>
      <c r="J25" s="3"/>
      <c r="K25" s="3"/>
      <c r="L25" s="3"/>
      <c r="M25" s="5">
        <f t="shared" si="5"/>
        <v>0.5</v>
      </c>
      <c r="N25" s="5">
        <f t="shared" si="6"/>
        <v>0</v>
      </c>
      <c r="O25" s="5">
        <f t="shared" si="7"/>
        <v>0</v>
      </c>
      <c r="P25" s="3">
        <f t="shared" si="8"/>
        <v>0</v>
      </c>
      <c r="Q25" s="6">
        <f t="shared" si="9"/>
        <v>0</v>
      </c>
    </row>
    <row r="26" spans="1:17" x14ac:dyDescent="0.4">
      <c r="A26" s="2">
        <v>46024</v>
      </c>
      <c r="B26" s="1" t="s">
        <v>13</v>
      </c>
      <c r="C26" s="1" t="s">
        <v>14</v>
      </c>
      <c r="D26" s="1" t="s">
        <v>31</v>
      </c>
      <c r="E26" s="7">
        <v>2032065.8342792308</v>
      </c>
      <c r="F26" s="4">
        <v>4</v>
      </c>
      <c r="G26" s="4">
        <v>12</v>
      </c>
      <c r="H26" s="4">
        <v>7</v>
      </c>
      <c r="I26" s="4">
        <v>2</v>
      </c>
      <c r="J26" s="4">
        <v>30000</v>
      </c>
      <c r="K26" s="4">
        <v>2</v>
      </c>
      <c r="L26" s="4">
        <v>70000</v>
      </c>
      <c r="M26" s="5">
        <f t="shared" si="5"/>
        <v>0.58333333333333337</v>
      </c>
      <c r="N26" s="5">
        <f t="shared" si="6"/>
        <v>3</v>
      </c>
      <c r="O26" s="5">
        <f t="shared" si="7"/>
        <v>0.2857142857142857</v>
      </c>
      <c r="P26" s="3">
        <f t="shared" si="8"/>
        <v>169338.81952326922</v>
      </c>
      <c r="Q26" s="6">
        <f t="shared" si="9"/>
        <v>0.1771596145789692</v>
      </c>
    </row>
    <row r="27" spans="1:17" x14ac:dyDescent="0.4">
      <c r="A27" s="2">
        <v>46024</v>
      </c>
      <c r="B27" s="1" t="s">
        <v>11</v>
      </c>
      <c r="C27" s="1" t="s">
        <v>12</v>
      </c>
      <c r="D27" s="1" t="s">
        <v>32</v>
      </c>
      <c r="E27" s="7">
        <v>165413.53383458647</v>
      </c>
      <c r="F27" s="4">
        <v>4</v>
      </c>
      <c r="G27" s="4"/>
      <c r="H27" s="4"/>
      <c r="I27" s="4"/>
      <c r="J27" s="4"/>
      <c r="K27" s="4"/>
      <c r="L27" s="4"/>
      <c r="M27" s="5">
        <f t="shared" si="5"/>
        <v>0</v>
      </c>
      <c r="N27" s="5">
        <f t="shared" si="6"/>
        <v>0</v>
      </c>
      <c r="O27" s="5">
        <f t="shared" si="7"/>
        <v>0</v>
      </c>
      <c r="P27" s="3">
        <f t="shared" si="8"/>
        <v>0</v>
      </c>
      <c r="Q27" s="6">
        <f t="shared" si="9"/>
        <v>0</v>
      </c>
    </row>
    <row r="28" spans="1:17" x14ac:dyDescent="0.4">
      <c r="A28" s="2">
        <v>46024</v>
      </c>
      <c r="B28" s="1" t="s">
        <v>17</v>
      </c>
      <c r="C28" s="1" t="s">
        <v>18</v>
      </c>
      <c r="D28" s="1" t="s">
        <v>53</v>
      </c>
      <c r="E28" s="7">
        <v>177419.35483870967</v>
      </c>
      <c r="F28" s="4">
        <v>4</v>
      </c>
      <c r="G28" s="4"/>
      <c r="H28" s="4"/>
      <c r="I28" s="4"/>
      <c r="J28" s="4"/>
      <c r="K28" s="4"/>
      <c r="L28" s="4"/>
      <c r="M28" s="5">
        <f t="shared" si="5"/>
        <v>0</v>
      </c>
      <c r="N28" s="5">
        <f t="shared" si="6"/>
        <v>0</v>
      </c>
      <c r="O28" s="5">
        <f t="shared" si="7"/>
        <v>0</v>
      </c>
      <c r="P28" s="3">
        <f t="shared" si="8"/>
        <v>0</v>
      </c>
      <c r="Q28" s="6">
        <f t="shared" si="9"/>
        <v>0</v>
      </c>
    </row>
    <row r="29" spans="1:17" x14ac:dyDescent="0.4">
      <c r="A29" s="2">
        <v>46024</v>
      </c>
      <c r="B29" s="1" t="s">
        <v>25</v>
      </c>
      <c r="C29" s="1" t="s">
        <v>35</v>
      </c>
      <c r="D29" s="1" t="s">
        <v>32</v>
      </c>
      <c r="E29" s="7">
        <v>0</v>
      </c>
      <c r="F29" s="4">
        <v>5</v>
      </c>
      <c r="G29" s="4"/>
      <c r="H29" s="4"/>
      <c r="I29" s="4"/>
      <c r="J29" s="4"/>
      <c r="K29" s="4"/>
      <c r="L29" s="4"/>
      <c r="M29" s="5">
        <f t="shared" ref="M29:M52" si="20">IFERROR(H29/G29,0)</f>
        <v>0</v>
      </c>
      <c r="N29" s="5">
        <f t="shared" ref="N29:N52" si="21">IFERROR(G29/F29,0)</f>
        <v>0</v>
      </c>
      <c r="O29" s="5">
        <f t="shared" ref="O29:O52" si="22">IFERROR(I29/H29,0)</f>
        <v>0</v>
      </c>
      <c r="P29" s="3">
        <f t="shared" ref="P29:P52" si="23">IFERROR(E29/G29,0)</f>
        <v>0</v>
      </c>
      <c r="Q29" s="6">
        <f t="shared" ref="Q29:Q52" si="24">IFERROR(J29*12/E29,0)</f>
        <v>0</v>
      </c>
    </row>
    <row r="30" spans="1:17" x14ac:dyDescent="0.4">
      <c r="A30" s="2">
        <v>46024</v>
      </c>
      <c r="B30" s="1" t="s">
        <v>24</v>
      </c>
      <c r="C30" s="1" t="s">
        <v>6</v>
      </c>
      <c r="D30" s="1" t="s">
        <v>69</v>
      </c>
      <c r="E30" s="7">
        <v>154541</v>
      </c>
      <c r="F30" s="4">
        <v>4</v>
      </c>
      <c r="G30" s="4">
        <v>2</v>
      </c>
      <c r="H30" s="4">
        <v>2</v>
      </c>
      <c r="I30" s="4">
        <v>1</v>
      </c>
      <c r="J30" s="4">
        <v>20000</v>
      </c>
      <c r="K30" s="4" t="s">
        <v>68</v>
      </c>
      <c r="L30" s="4" t="s">
        <v>68</v>
      </c>
      <c r="M30" s="5">
        <f t="shared" si="20"/>
        <v>1</v>
      </c>
      <c r="N30" s="5">
        <f t="shared" si="21"/>
        <v>0.5</v>
      </c>
      <c r="O30" s="5">
        <f t="shared" si="22"/>
        <v>0.5</v>
      </c>
      <c r="P30" s="3">
        <f t="shared" si="23"/>
        <v>77270.5</v>
      </c>
      <c r="Q30" s="6">
        <f t="shared" si="24"/>
        <v>1.5529859390064773</v>
      </c>
    </row>
    <row r="31" spans="1:17" x14ac:dyDescent="0.4">
      <c r="A31" s="2">
        <v>46024</v>
      </c>
      <c r="B31" s="1" t="s">
        <v>9</v>
      </c>
      <c r="C31" s="1" t="s">
        <v>6</v>
      </c>
      <c r="D31" s="1" t="s">
        <v>70</v>
      </c>
      <c r="E31" s="7">
        <v>347715</v>
      </c>
      <c r="F31" s="4">
        <v>9</v>
      </c>
      <c r="G31" s="4">
        <v>2</v>
      </c>
      <c r="H31" s="4">
        <v>1</v>
      </c>
      <c r="I31" s="4" t="s">
        <v>68</v>
      </c>
      <c r="J31" s="4" t="s">
        <v>68</v>
      </c>
      <c r="K31" s="4" t="s">
        <v>68</v>
      </c>
      <c r="L31" s="4" t="s">
        <v>68</v>
      </c>
      <c r="M31" s="5">
        <f t="shared" si="20"/>
        <v>0.5</v>
      </c>
      <c r="N31" s="5">
        <f t="shared" si="21"/>
        <v>0.22222222222222221</v>
      </c>
      <c r="O31" s="5">
        <f t="shared" si="22"/>
        <v>0</v>
      </c>
      <c r="P31" s="3">
        <f t="shared" si="23"/>
        <v>173857.5</v>
      </c>
      <c r="Q31" s="6">
        <f t="shared" si="24"/>
        <v>0</v>
      </c>
    </row>
    <row r="32" spans="1:17" x14ac:dyDescent="0.4">
      <c r="A32" s="2">
        <v>46024</v>
      </c>
      <c r="B32" s="1" t="s">
        <v>15</v>
      </c>
      <c r="C32" s="1" t="s">
        <v>6</v>
      </c>
      <c r="D32" s="1" t="s">
        <v>44</v>
      </c>
      <c r="E32" s="7">
        <v>347715</v>
      </c>
      <c r="F32" s="4">
        <v>9</v>
      </c>
      <c r="G32" s="4">
        <v>8</v>
      </c>
      <c r="H32" s="4">
        <v>7</v>
      </c>
      <c r="I32" s="4">
        <v>3</v>
      </c>
      <c r="J32" s="4">
        <v>65000</v>
      </c>
      <c r="K32" s="4" t="s">
        <v>68</v>
      </c>
      <c r="L32" s="4" t="s">
        <v>68</v>
      </c>
      <c r="M32" s="5">
        <f t="shared" si="20"/>
        <v>0.875</v>
      </c>
      <c r="N32" s="5">
        <f t="shared" si="21"/>
        <v>0.88888888888888884</v>
      </c>
      <c r="O32" s="5">
        <f t="shared" si="22"/>
        <v>0.42857142857142855</v>
      </c>
      <c r="P32" s="3">
        <f t="shared" si="23"/>
        <v>43464.375</v>
      </c>
      <c r="Q32" s="6">
        <f t="shared" si="24"/>
        <v>2.2432164272464519</v>
      </c>
    </row>
    <row r="33" spans="1:17" x14ac:dyDescent="0.4">
      <c r="A33" s="2">
        <v>46024</v>
      </c>
      <c r="B33" s="1" t="s">
        <v>10</v>
      </c>
      <c r="C33" s="1" t="s">
        <v>6</v>
      </c>
      <c r="D33" s="1" t="s">
        <v>33</v>
      </c>
      <c r="E33" s="7">
        <v>154541</v>
      </c>
      <c r="F33" s="4">
        <v>4</v>
      </c>
      <c r="G33" s="4">
        <v>2</v>
      </c>
      <c r="H33" s="4">
        <v>2</v>
      </c>
      <c r="I33" s="4">
        <v>2</v>
      </c>
      <c r="J33" s="4">
        <v>50000</v>
      </c>
      <c r="K33" s="4" t="s">
        <v>68</v>
      </c>
      <c r="L33" s="4" t="s">
        <v>68</v>
      </c>
      <c r="M33" s="5">
        <f t="shared" si="20"/>
        <v>1</v>
      </c>
      <c r="N33" s="5">
        <f t="shared" si="21"/>
        <v>0.5</v>
      </c>
      <c r="O33" s="5">
        <f t="shared" si="22"/>
        <v>1</v>
      </c>
      <c r="P33" s="3">
        <f t="shared" si="23"/>
        <v>77270.5</v>
      </c>
      <c r="Q33" s="6">
        <f t="shared" si="24"/>
        <v>3.8824648475161929</v>
      </c>
    </row>
    <row r="34" spans="1:17" x14ac:dyDescent="0.4">
      <c r="A34" s="2">
        <v>46024</v>
      </c>
      <c r="B34" s="1" t="s">
        <v>74</v>
      </c>
      <c r="C34" s="1" t="s">
        <v>6</v>
      </c>
      <c r="D34" s="1" t="s">
        <v>71</v>
      </c>
      <c r="E34" s="7">
        <v>154541</v>
      </c>
      <c r="F34" s="4">
        <v>4</v>
      </c>
      <c r="G34" s="4" t="s">
        <v>68</v>
      </c>
      <c r="H34" s="4" t="s">
        <v>68</v>
      </c>
      <c r="I34" s="4" t="s">
        <v>68</v>
      </c>
      <c r="J34" s="4" t="s">
        <v>68</v>
      </c>
      <c r="K34" s="4" t="s">
        <v>68</v>
      </c>
      <c r="L34" s="4" t="s">
        <v>68</v>
      </c>
      <c r="M34" s="5">
        <f t="shared" si="20"/>
        <v>0</v>
      </c>
      <c r="N34" s="5">
        <f t="shared" si="21"/>
        <v>0</v>
      </c>
      <c r="O34" s="5">
        <f t="shared" si="22"/>
        <v>0</v>
      </c>
      <c r="P34" s="3">
        <f t="shared" si="23"/>
        <v>0</v>
      </c>
      <c r="Q34" s="6">
        <f t="shared" si="24"/>
        <v>0</v>
      </c>
    </row>
    <row r="35" spans="1:17" x14ac:dyDescent="0.4">
      <c r="A35" s="2">
        <v>46024</v>
      </c>
      <c r="B35" s="1" t="s">
        <v>75</v>
      </c>
      <c r="C35" s="1" t="s">
        <v>6</v>
      </c>
      <c r="D35" s="1" t="s">
        <v>72</v>
      </c>
      <c r="E35" s="7">
        <v>154541</v>
      </c>
      <c r="F35" s="4">
        <v>4</v>
      </c>
      <c r="G35" s="4">
        <v>3</v>
      </c>
      <c r="H35" s="4">
        <v>2</v>
      </c>
      <c r="I35" s="4" t="s">
        <v>68</v>
      </c>
      <c r="J35" s="4" t="s">
        <v>68</v>
      </c>
      <c r="K35" s="4">
        <v>1</v>
      </c>
      <c r="L35" s="4">
        <v>100000</v>
      </c>
      <c r="M35" s="5">
        <f t="shared" si="20"/>
        <v>0.66666666666666663</v>
      </c>
      <c r="N35" s="5">
        <f t="shared" si="21"/>
        <v>0.75</v>
      </c>
      <c r="O35" s="5">
        <f t="shared" si="22"/>
        <v>0</v>
      </c>
      <c r="P35" s="3">
        <f t="shared" si="23"/>
        <v>51513.666666666664</v>
      </c>
      <c r="Q35" s="6">
        <f t="shared" si="24"/>
        <v>0</v>
      </c>
    </row>
    <row r="36" spans="1:17" x14ac:dyDescent="0.4">
      <c r="A36" s="2">
        <v>46024</v>
      </c>
      <c r="B36" s="1" t="s">
        <v>76</v>
      </c>
      <c r="C36" s="1" t="s">
        <v>6</v>
      </c>
      <c r="D36" s="1" t="s">
        <v>73</v>
      </c>
      <c r="E36" s="7">
        <v>154541</v>
      </c>
      <c r="F36" s="4">
        <v>4</v>
      </c>
      <c r="G36" s="4">
        <v>1</v>
      </c>
      <c r="H36" s="4" t="s">
        <v>68</v>
      </c>
      <c r="I36" s="4">
        <v>1</v>
      </c>
      <c r="J36" s="4">
        <v>25000</v>
      </c>
      <c r="K36" s="4" t="s">
        <v>68</v>
      </c>
      <c r="L36" s="4" t="s">
        <v>68</v>
      </c>
      <c r="M36" s="5">
        <f t="shared" si="20"/>
        <v>0</v>
      </c>
      <c r="N36" s="5">
        <f t="shared" si="21"/>
        <v>0.25</v>
      </c>
      <c r="O36" s="5">
        <f t="shared" si="22"/>
        <v>0</v>
      </c>
      <c r="P36" s="3">
        <f t="shared" si="23"/>
        <v>154541</v>
      </c>
      <c r="Q36" s="6">
        <f t="shared" si="24"/>
        <v>1.9412324237580965</v>
      </c>
    </row>
    <row r="37" spans="1:17" x14ac:dyDescent="0.4">
      <c r="A37" s="2">
        <v>46024</v>
      </c>
      <c r="B37" s="1" t="s">
        <v>5</v>
      </c>
      <c r="C37" s="1" t="s">
        <v>6</v>
      </c>
      <c r="D37" s="1" t="s">
        <v>52</v>
      </c>
      <c r="E37" s="7">
        <v>193176</v>
      </c>
      <c r="F37" s="4">
        <v>5</v>
      </c>
      <c r="G37" s="4">
        <v>1</v>
      </c>
      <c r="H37" s="4">
        <v>1</v>
      </c>
      <c r="I37" s="4">
        <v>1</v>
      </c>
      <c r="J37" s="4">
        <v>20000</v>
      </c>
      <c r="K37" s="4" t="s">
        <v>68</v>
      </c>
      <c r="L37" s="4" t="s">
        <v>68</v>
      </c>
      <c r="M37" s="5">
        <f t="shared" si="20"/>
        <v>1</v>
      </c>
      <c r="N37" s="5">
        <f t="shared" si="21"/>
        <v>0.2</v>
      </c>
      <c r="O37" s="5">
        <f t="shared" si="22"/>
        <v>1</v>
      </c>
      <c r="P37" s="3">
        <f t="shared" si="23"/>
        <v>193176</v>
      </c>
      <c r="Q37" s="6">
        <f t="shared" si="24"/>
        <v>1.2423903590508139</v>
      </c>
    </row>
    <row r="38" spans="1:17" x14ac:dyDescent="0.4">
      <c r="A38" s="2">
        <v>46024</v>
      </c>
      <c r="B38" s="1" t="s">
        <v>26</v>
      </c>
      <c r="C38" s="1" t="s">
        <v>36</v>
      </c>
      <c r="D38" s="1" t="s">
        <v>52</v>
      </c>
      <c r="E38" s="7">
        <v>0</v>
      </c>
      <c r="F38" s="4">
        <v>1</v>
      </c>
      <c r="G38" s="4">
        <v>1</v>
      </c>
      <c r="H38" s="4">
        <v>1</v>
      </c>
      <c r="I38" s="4">
        <v>1</v>
      </c>
      <c r="J38" s="4">
        <v>25000</v>
      </c>
      <c r="K38" s="4"/>
      <c r="L38" s="4"/>
      <c r="M38" s="5">
        <f t="shared" si="20"/>
        <v>1</v>
      </c>
      <c r="N38" s="5">
        <f t="shared" si="21"/>
        <v>1</v>
      </c>
      <c r="O38" s="5">
        <f t="shared" si="22"/>
        <v>1</v>
      </c>
      <c r="P38" s="3">
        <f t="shared" si="23"/>
        <v>0</v>
      </c>
      <c r="Q38" s="6">
        <f t="shared" si="24"/>
        <v>0</v>
      </c>
    </row>
    <row r="39" spans="1:17" x14ac:dyDescent="0.4">
      <c r="A39" s="2">
        <v>46024</v>
      </c>
      <c r="B39" s="1" t="s">
        <v>51</v>
      </c>
      <c r="C39" s="1" t="s">
        <v>50</v>
      </c>
      <c r="D39" s="1" t="s">
        <v>54</v>
      </c>
      <c r="E39" s="7">
        <v>285714.28571428574</v>
      </c>
      <c r="F39" s="4">
        <v>4</v>
      </c>
      <c r="G39" s="4">
        <v>2</v>
      </c>
      <c r="H39" s="4">
        <v>2</v>
      </c>
      <c r="I39" s="4">
        <v>1</v>
      </c>
      <c r="J39" s="4">
        <v>20000</v>
      </c>
      <c r="K39" s="4"/>
      <c r="L39" s="4"/>
      <c r="M39" s="5">
        <f t="shared" si="20"/>
        <v>1</v>
      </c>
      <c r="N39" s="5">
        <f t="shared" si="21"/>
        <v>0.5</v>
      </c>
      <c r="O39" s="5">
        <f t="shared" si="22"/>
        <v>0.5</v>
      </c>
      <c r="P39" s="3">
        <f t="shared" si="23"/>
        <v>142857.14285714287</v>
      </c>
      <c r="Q39" s="6">
        <f t="shared" si="24"/>
        <v>0.84</v>
      </c>
    </row>
    <row r="40" spans="1:17" x14ac:dyDescent="0.4">
      <c r="A40" s="2">
        <v>46024</v>
      </c>
      <c r="B40" s="1" t="s">
        <v>56</v>
      </c>
      <c r="C40" s="1" t="s">
        <v>57</v>
      </c>
      <c r="D40" s="1" t="s">
        <v>59</v>
      </c>
      <c r="E40" s="7">
        <v>229166.66666666666</v>
      </c>
      <c r="F40" s="4">
        <v>6</v>
      </c>
      <c r="G40" s="4">
        <v>2</v>
      </c>
      <c r="H40" s="4">
        <v>1</v>
      </c>
      <c r="I40" s="4">
        <v>1</v>
      </c>
      <c r="J40" s="4">
        <v>30000</v>
      </c>
      <c r="K40" s="4"/>
      <c r="L40" s="4"/>
      <c r="M40" s="5">
        <f t="shared" si="20"/>
        <v>0.5</v>
      </c>
      <c r="N40" s="5">
        <f t="shared" si="21"/>
        <v>0.33333333333333331</v>
      </c>
      <c r="O40" s="5">
        <f t="shared" si="22"/>
        <v>1</v>
      </c>
      <c r="P40" s="3">
        <f t="shared" si="23"/>
        <v>114583.33333333333</v>
      </c>
      <c r="Q40" s="6">
        <f t="shared" si="24"/>
        <v>1.570909090909091</v>
      </c>
    </row>
    <row r="41" spans="1:17" x14ac:dyDescent="0.4">
      <c r="A41" s="2">
        <v>46024</v>
      </c>
      <c r="B41" s="1" t="s">
        <v>16</v>
      </c>
      <c r="C41" s="1" t="s">
        <v>58</v>
      </c>
      <c r="D41" s="1" t="s">
        <v>53</v>
      </c>
      <c r="E41" s="7">
        <v>206250.00000000003</v>
      </c>
      <c r="F41" s="4">
        <v>3</v>
      </c>
      <c r="G41" s="4">
        <v>2</v>
      </c>
      <c r="H41" s="4"/>
      <c r="I41" s="4"/>
      <c r="J41" s="4"/>
      <c r="K41" s="4"/>
      <c r="L41" s="4"/>
      <c r="M41" s="5">
        <f t="shared" si="20"/>
        <v>0</v>
      </c>
      <c r="N41" s="5">
        <f t="shared" si="21"/>
        <v>0.66666666666666663</v>
      </c>
      <c r="O41" s="5">
        <f t="shared" si="22"/>
        <v>0</v>
      </c>
      <c r="P41" s="3">
        <f t="shared" si="23"/>
        <v>103125.00000000001</v>
      </c>
      <c r="Q41" s="6">
        <f t="shared" si="24"/>
        <v>0</v>
      </c>
    </row>
    <row r="42" spans="1:17" x14ac:dyDescent="0.4">
      <c r="A42" s="2">
        <v>46024</v>
      </c>
      <c r="B42" s="1" t="s">
        <v>19</v>
      </c>
      <c r="C42" s="1" t="s">
        <v>20</v>
      </c>
      <c r="D42" s="1" t="s">
        <v>34</v>
      </c>
      <c r="E42" s="7">
        <v>195035.46099290781</v>
      </c>
      <c r="F42" s="4">
        <v>4</v>
      </c>
      <c r="G42" s="4">
        <v>1</v>
      </c>
      <c r="H42" s="4">
        <v>1</v>
      </c>
      <c r="I42" s="4"/>
      <c r="J42" s="4"/>
      <c r="K42" s="4"/>
      <c r="L42" s="4"/>
      <c r="M42" s="5">
        <f t="shared" si="20"/>
        <v>1</v>
      </c>
      <c r="N42" s="5">
        <f t="shared" si="21"/>
        <v>0.25</v>
      </c>
      <c r="O42" s="5">
        <f t="shared" si="22"/>
        <v>0</v>
      </c>
      <c r="P42" s="3">
        <f t="shared" si="23"/>
        <v>195035.46099290781</v>
      </c>
      <c r="Q42" s="6">
        <f t="shared" si="24"/>
        <v>0</v>
      </c>
    </row>
    <row r="43" spans="1:17" x14ac:dyDescent="0.4">
      <c r="A43" s="2">
        <v>46024</v>
      </c>
      <c r="B43" s="1" t="s">
        <v>23</v>
      </c>
      <c r="C43" s="1" t="s">
        <v>37</v>
      </c>
      <c r="D43" s="1" t="s">
        <v>32</v>
      </c>
      <c r="E43" s="7">
        <v>0</v>
      </c>
      <c r="F43" s="4">
        <v>7</v>
      </c>
      <c r="G43" s="4"/>
      <c r="H43" s="4"/>
      <c r="I43" s="4"/>
      <c r="J43" s="4"/>
      <c r="K43" s="4"/>
      <c r="L43" s="4"/>
      <c r="M43" s="5">
        <f t="shared" si="20"/>
        <v>0</v>
      </c>
      <c r="N43" s="5">
        <f t="shared" si="21"/>
        <v>0</v>
      </c>
      <c r="O43" s="5">
        <f t="shared" si="22"/>
        <v>0</v>
      </c>
      <c r="P43" s="3">
        <f t="shared" si="23"/>
        <v>0</v>
      </c>
      <c r="Q43" s="6">
        <f t="shared" si="24"/>
        <v>0</v>
      </c>
    </row>
    <row r="44" spans="1:17" x14ac:dyDescent="0.4">
      <c r="A44" s="2">
        <v>46024</v>
      </c>
      <c r="B44" s="1" t="s">
        <v>21</v>
      </c>
      <c r="C44" s="1" t="s">
        <v>22</v>
      </c>
      <c r="D44" s="1" t="s">
        <v>32</v>
      </c>
      <c r="E44" s="7">
        <v>283870.96774193551</v>
      </c>
      <c r="F44" s="4">
        <v>9</v>
      </c>
      <c r="G44" s="4">
        <v>2</v>
      </c>
      <c r="H44" s="4">
        <v>1</v>
      </c>
      <c r="I44" s="4"/>
      <c r="J44" s="4"/>
      <c r="K44" s="4">
        <v>1</v>
      </c>
      <c r="L44" s="4">
        <v>500000</v>
      </c>
      <c r="M44" s="5">
        <f t="shared" si="20"/>
        <v>0.5</v>
      </c>
      <c r="N44" s="5">
        <f t="shared" si="21"/>
        <v>0.22222222222222221</v>
      </c>
      <c r="O44" s="5">
        <f t="shared" si="22"/>
        <v>0</v>
      </c>
      <c r="P44" s="3">
        <f t="shared" si="23"/>
        <v>141935.48387096776</v>
      </c>
      <c r="Q44" s="6">
        <f t="shared" si="24"/>
        <v>0</v>
      </c>
    </row>
    <row r="45" spans="1:17" x14ac:dyDescent="0.4">
      <c r="A45" s="2">
        <v>46024</v>
      </c>
      <c r="B45" s="1" t="s">
        <v>60</v>
      </c>
      <c r="C45" s="1" t="s">
        <v>63</v>
      </c>
      <c r="D45" s="1" t="s">
        <v>66</v>
      </c>
      <c r="E45" s="7">
        <v>225409.83606557379</v>
      </c>
      <c r="F45" s="4">
        <v>4</v>
      </c>
      <c r="G45" s="4"/>
      <c r="H45" s="4"/>
      <c r="I45" s="4"/>
      <c r="J45" s="4"/>
      <c r="K45" s="4"/>
      <c r="L45" s="4"/>
      <c r="M45" s="5">
        <f t="shared" si="20"/>
        <v>0</v>
      </c>
      <c r="N45" s="5">
        <f t="shared" si="21"/>
        <v>0</v>
      </c>
      <c r="O45" s="5">
        <f t="shared" si="22"/>
        <v>0</v>
      </c>
      <c r="P45" s="3">
        <f t="shared" si="23"/>
        <v>0</v>
      </c>
      <c r="Q45" s="6">
        <f t="shared" si="24"/>
        <v>0</v>
      </c>
    </row>
    <row r="46" spans="1:17" x14ac:dyDescent="0.4">
      <c r="A46" s="2">
        <v>46024</v>
      </c>
      <c r="B46" s="1" t="s">
        <v>61</v>
      </c>
      <c r="C46" s="1" t="s">
        <v>64</v>
      </c>
      <c r="D46" s="1" t="s">
        <v>66</v>
      </c>
      <c r="E46" s="7">
        <v>0</v>
      </c>
      <c r="F46" s="4">
        <v>8</v>
      </c>
      <c r="G46" s="4"/>
      <c r="H46" s="4"/>
      <c r="I46" s="4"/>
      <c r="J46" s="4"/>
      <c r="K46" s="4"/>
      <c r="L46" s="4"/>
      <c r="M46" s="5">
        <f t="shared" si="20"/>
        <v>0</v>
      </c>
      <c r="N46" s="5">
        <f t="shared" si="21"/>
        <v>0</v>
      </c>
      <c r="O46" s="5">
        <f t="shared" si="22"/>
        <v>0</v>
      </c>
      <c r="P46" s="3">
        <f t="shared" si="23"/>
        <v>0</v>
      </c>
      <c r="Q46" s="6">
        <f t="shared" si="24"/>
        <v>0</v>
      </c>
    </row>
    <row r="47" spans="1:17" x14ac:dyDescent="0.4">
      <c r="A47" s="2">
        <v>46024</v>
      </c>
      <c r="B47" s="1" t="s">
        <v>62</v>
      </c>
      <c r="C47" s="1" t="s">
        <v>65</v>
      </c>
      <c r="D47" s="1" t="s">
        <v>67</v>
      </c>
      <c r="E47" s="7">
        <v>528846.15384615399</v>
      </c>
      <c r="F47" s="4">
        <v>4</v>
      </c>
      <c r="G47" s="4">
        <v>1</v>
      </c>
      <c r="H47" s="4">
        <v>1</v>
      </c>
      <c r="I47" s="4">
        <v>1</v>
      </c>
      <c r="J47" s="4">
        <v>20000</v>
      </c>
      <c r="K47" s="4"/>
      <c r="L47" s="4"/>
      <c r="M47" s="5">
        <f t="shared" si="20"/>
        <v>1</v>
      </c>
      <c r="N47" s="5">
        <f t="shared" si="21"/>
        <v>0.25</v>
      </c>
      <c r="O47" s="5">
        <f t="shared" si="22"/>
        <v>1</v>
      </c>
      <c r="P47" s="3">
        <f t="shared" si="23"/>
        <v>528846.15384615399</v>
      </c>
      <c r="Q47" s="6">
        <f t="shared" si="24"/>
        <v>0.45381818181818168</v>
      </c>
    </row>
    <row r="48" spans="1:17" x14ac:dyDescent="0.4">
      <c r="A48" s="2">
        <v>46024</v>
      </c>
      <c r="B48" s="1" t="s">
        <v>42</v>
      </c>
      <c r="C48" s="1" t="s">
        <v>38</v>
      </c>
      <c r="D48" s="1" t="s">
        <v>42</v>
      </c>
      <c r="E48" s="7">
        <v>0</v>
      </c>
      <c r="F48" s="4">
        <v>0</v>
      </c>
      <c r="G48" s="4"/>
      <c r="H48" s="4"/>
      <c r="I48" s="4"/>
      <c r="J48" s="4"/>
      <c r="K48" s="4"/>
      <c r="L48" s="4"/>
      <c r="M48" s="5">
        <f t="shared" si="20"/>
        <v>0</v>
      </c>
      <c r="N48" s="5">
        <f t="shared" si="21"/>
        <v>0</v>
      </c>
      <c r="O48" s="5">
        <f t="shared" si="22"/>
        <v>0</v>
      </c>
      <c r="P48" s="3">
        <f t="shared" si="23"/>
        <v>0</v>
      </c>
      <c r="Q48" s="6">
        <f t="shared" si="24"/>
        <v>0</v>
      </c>
    </row>
    <row r="49" spans="1:17" x14ac:dyDescent="0.4">
      <c r="A49" s="2">
        <v>46024</v>
      </c>
      <c r="B49" s="1" t="s">
        <v>7</v>
      </c>
      <c r="C49" s="1" t="s">
        <v>8</v>
      </c>
      <c r="D49" s="1" t="s">
        <v>42</v>
      </c>
      <c r="E49" s="7">
        <v>0</v>
      </c>
      <c r="F49" s="4">
        <v>0</v>
      </c>
      <c r="G49" s="3">
        <v>8</v>
      </c>
      <c r="H49" s="3">
        <v>4</v>
      </c>
      <c r="I49" s="3"/>
      <c r="J49" s="3"/>
      <c r="K49" s="3"/>
      <c r="L49" s="3"/>
      <c r="M49" s="5">
        <f t="shared" si="20"/>
        <v>0.5</v>
      </c>
      <c r="N49" s="5">
        <f t="shared" si="21"/>
        <v>0</v>
      </c>
      <c r="O49" s="5">
        <f t="shared" si="22"/>
        <v>0</v>
      </c>
      <c r="P49" s="3">
        <f t="shared" si="23"/>
        <v>0</v>
      </c>
      <c r="Q49" s="6">
        <f t="shared" si="24"/>
        <v>0</v>
      </c>
    </row>
    <row r="50" spans="1:17" x14ac:dyDescent="0.4">
      <c r="A50" s="2">
        <v>46025</v>
      </c>
      <c r="B50" s="1" t="s">
        <v>13</v>
      </c>
      <c r="C50" s="1" t="s">
        <v>14</v>
      </c>
      <c r="D50" s="1" t="s">
        <v>31</v>
      </c>
      <c r="E50" s="7">
        <v>611804.76730987593</v>
      </c>
      <c r="F50" s="4">
        <v>1</v>
      </c>
      <c r="G50" s="4">
        <v>2</v>
      </c>
      <c r="H50" s="4">
        <v>1</v>
      </c>
      <c r="I50" s="4">
        <v>1</v>
      </c>
      <c r="J50" s="4">
        <v>20000</v>
      </c>
      <c r="K50" s="4"/>
      <c r="L50" s="4"/>
      <c r="M50" s="5">
        <f t="shared" si="20"/>
        <v>0.5</v>
      </c>
      <c r="N50" s="5">
        <f t="shared" si="21"/>
        <v>2</v>
      </c>
      <c r="O50" s="5">
        <f t="shared" si="22"/>
        <v>1</v>
      </c>
      <c r="P50" s="3">
        <f t="shared" si="23"/>
        <v>305902.38365493796</v>
      </c>
      <c r="Q50" s="6">
        <f t="shared" si="24"/>
        <v>0.39228200371057464</v>
      </c>
    </row>
    <row r="51" spans="1:17" x14ac:dyDescent="0.4">
      <c r="A51" s="2">
        <v>46025</v>
      </c>
      <c r="B51" s="1" t="s">
        <v>11</v>
      </c>
      <c r="C51" s="1" t="s">
        <v>12</v>
      </c>
      <c r="D51" s="1" t="s">
        <v>32</v>
      </c>
      <c r="E51" s="7">
        <v>124060.15037593986</v>
      </c>
      <c r="F51" s="4">
        <v>3</v>
      </c>
      <c r="G51" s="4">
        <v>2</v>
      </c>
      <c r="H51" s="4">
        <v>1</v>
      </c>
      <c r="I51" s="4"/>
      <c r="J51" s="4"/>
      <c r="K51" s="4"/>
      <c r="L51" s="4"/>
      <c r="M51" s="5">
        <f t="shared" si="20"/>
        <v>0.5</v>
      </c>
      <c r="N51" s="5">
        <f t="shared" si="21"/>
        <v>0.66666666666666663</v>
      </c>
      <c r="O51" s="5">
        <f t="shared" si="22"/>
        <v>0</v>
      </c>
      <c r="P51" s="3">
        <f t="shared" si="23"/>
        <v>62030.075187969931</v>
      </c>
      <c r="Q51" s="6">
        <f t="shared" si="24"/>
        <v>0</v>
      </c>
    </row>
    <row r="52" spans="1:17" x14ac:dyDescent="0.4">
      <c r="A52" s="2">
        <v>46025</v>
      </c>
      <c r="B52" s="1" t="s">
        <v>17</v>
      </c>
      <c r="C52" s="1" t="s">
        <v>18</v>
      </c>
      <c r="D52" s="1" t="s">
        <v>53</v>
      </c>
      <c r="E52" s="7">
        <v>177419.35483870967</v>
      </c>
      <c r="F52" s="4">
        <v>4</v>
      </c>
      <c r="G52" s="4"/>
      <c r="H52" s="4"/>
      <c r="I52" s="4"/>
      <c r="J52" s="4"/>
      <c r="K52" s="4"/>
      <c r="L52" s="4"/>
      <c r="M52" s="5">
        <f t="shared" si="20"/>
        <v>0</v>
      </c>
      <c r="N52" s="5">
        <f t="shared" si="21"/>
        <v>0</v>
      </c>
      <c r="O52" s="5">
        <f t="shared" si="22"/>
        <v>0</v>
      </c>
      <c r="P52" s="3">
        <f t="shared" si="23"/>
        <v>0</v>
      </c>
      <c r="Q52" s="6">
        <f t="shared" si="24"/>
        <v>0</v>
      </c>
    </row>
    <row r="53" spans="1:17" x14ac:dyDescent="0.4">
      <c r="A53" s="2">
        <v>46025</v>
      </c>
      <c r="B53" s="1" t="s">
        <v>25</v>
      </c>
      <c r="C53" s="1" t="s">
        <v>35</v>
      </c>
      <c r="D53" s="1" t="s">
        <v>32</v>
      </c>
      <c r="E53" s="7">
        <v>0</v>
      </c>
      <c r="F53" s="4">
        <v>5</v>
      </c>
      <c r="G53" s="4"/>
      <c r="H53" s="4"/>
      <c r="I53" s="4"/>
      <c r="J53" s="4"/>
      <c r="K53" s="4"/>
      <c r="L53" s="4"/>
      <c r="M53" s="5">
        <f t="shared" ref="M53:M144" si="25">IFERROR(H53/G53,0)</f>
        <v>0</v>
      </c>
      <c r="N53" s="5">
        <f t="shared" ref="N53:N144" si="26">IFERROR(G53/F53,0)</f>
        <v>0</v>
      </c>
      <c r="O53" s="5">
        <f t="shared" ref="O53:O144" si="27">IFERROR(I53/H53,0)</f>
        <v>0</v>
      </c>
      <c r="P53" s="3">
        <f t="shared" ref="P53:P144" si="28">IFERROR(E53/G53,0)</f>
        <v>0</v>
      </c>
      <c r="Q53" s="6">
        <f t="shared" ref="Q53:Q144" si="29">IFERROR(J53*12/E53,0)</f>
        <v>0</v>
      </c>
    </row>
    <row r="54" spans="1:17" x14ac:dyDescent="0.4">
      <c r="A54" s="2">
        <v>46025</v>
      </c>
      <c r="B54" s="1" t="s">
        <v>24</v>
      </c>
      <c r="C54" s="1" t="s">
        <v>6</v>
      </c>
      <c r="D54" s="1" t="s">
        <v>69</v>
      </c>
      <c r="E54" s="7">
        <v>215370</v>
      </c>
      <c r="F54" s="4">
        <v>5</v>
      </c>
      <c r="G54" s="4">
        <v>1</v>
      </c>
      <c r="H54" s="4">
        <v>1</v>
      </c>
      <c r="I54" s="4">
        <v>1</v>
      </c>
      <c r="J54" s="4">
        <v>20000</v>
      </c>
      <c r="K54" s="4" t="s">
        <v>68</v>
      </c>
      <c r="L54" s="4" t="s">
        <v>68</v>
      </c>
      <c r="M54" s="5">
        <f t="shared" si="25"/>
        <v>1</v>
      </c>
      <c r="N54" s="5">
        <f t="shared" si="26"/>
        <v>0.2</v>
      </c>
      <c r="O54" s="5">
        <f t="shared" si="27"/>
        <v>1</v>
      </c>
      <c r="P54" s="3">
        <f t="shared" si="28"/>
        <v>215370</v>
      </c>
      <c r="Q54" s="6">
        <f t="shared" si="29"/>
        <v>1.1143613316617913</v>
      </c>
    </row>
    <row r="55" spans="1:17" x14ac:dyDescent="0.4">
      <c r="A55" s="2">
        <v>46025</v>
      </c>
      <c r="B55" s="1" t="s">
        <v>9</v>
      </c>
      <c r="C55" s="1" t="s">
        <v>6</v>
      </c>
      <c r="D55" s="1" t="s">
        <v>70</v>
      </c>
      <c r="E55" s="7">
        <v>387667</v>
      </c>
      <c r="F55" s="4">
        <v>9</v>
      </c>
      <c r="G55" s="4">
        <v>1</v>
      </c>
      <c r="H55" s="4">
        <v>1</v>
      </c>
      <c r="I55" s="4">
        <v>1</v>
      </c>
      <c r="J55" s="4">
        <v>20000</v>
      </c>
      <c r="K55" s="4" t="s">
        <v>68</v>
      </c>
      <c r="L55" s="4" t="s">
        <v>68</v>
      </c>
      <c r="M55" s="5">
        <f t="shared" si="25"/>
        <v>1</v>
      </c>
      <c r="N55" s="5">
        <f t="shared" si="26"/>
        <v>0.1111111111111111</v>
      </c>
      <c r="O55" s="5">
        <f t="shared" si="27"/>
        <v>1</v>
      </c>
      <c r="P55" s="3">
        <f t="shared" si="28"/>
        <v>387667</v>
      </c>
      <c r="Q55" s="6">
        <f t="shared" si="29"/>
        <v>0.61908803173857974</v>
      </c>
    </row>
    <row r="56" spans="1:17" x14ac:dyDescent="0.4">
      <c r="A56" s="2">
        <v>46025</v>
      </c>
      <c r="B56" s="1" t="s">
        <v>15</v>
      </c>
      <c r="C56" s="1" t="s">
        <v>6</v>
      </c>
      <c r="D56" s="1" t="s">
        <v>44</v>
      </c>
      <c r="E56" s="7">
        <v>387667</v>
      </c>
      <c r="F56" s="4">
        <v>9</v>
      </c>
      <c r="G56" s="4">
        <v>3</v>
      </c>
      <c r="H56" s="4">
        <v>2</v>
      </c>
      <c r="I56" s="4">
        <v>1</v>
      </c>
      <c r="J56" s="4">
        <v>20000</v>
      </c>
      <c r="K56" s="4">
        <v>1</v>
      </c>
      <c r="L56" s="4">
        <v>30000</v>
      </c>
      <c r="M56" s="5">
        <f t="shared" si="25"/>
        <v>0.66666666666666663</v>
      </c>
      <c r="N56" s="5">
        <f t="shared" si="26"/>
        <v>0.33333333333333331</v>
      </c>
      <c r="O56" s="5">
        <f t="shared" si="27"/>
        <v>0.5</v>
      </c>
      <c r="P56" s="3">
        <f t="shared" si="28"/>
        <v>129222.33333333333</v>
      </c>
      <c r="Q56" s="6">
        <f t="shared" si="29"/>
        <v>0.61908803173857974</v>
      </c>
    </row>
    <row r="57" spans="1:17" x14ac:dyDescent="0.4">
      <c r="A57" s="2">
        <v>46025</v>
      </c>
      <c r="B57" s="1" t="s">
        <v>10</v>
      </c>
      <c r="C57" s="1" t="s">
        <v>6</v>
      </c>
      <c r="D57" s="1" t="s">
        <v>33</v>
      </c>
      <c r="E57" s="7">
        <v>172296</v>
      </c>
      <c r="F57" s="4">
        <v>4</v>
      </c>
      <c r="G57" s="4" t="s">
        <v>68</v>
      </c>
      <c r="H57" s="4" t="s">
        <v>68</v>
      </c>
      <c r="I57" s="4" t="s">
        <v>68</v>
      </c>
      <c r="J57" s="4" t="s">
        <v>68</v>
      </c>
      <c r="K57" s="4" t="s">
        <v>68</v>
      </c>
      <c r="L57" s="4" t="s">
        <v>68</v>
      </c>
      <c r="M57" s="5">
        <f t="shared" si="25"/>
        <v>0</v>
      </c>
      <c r="N57" s="5">
        <f t="shared" si="26"/>
        <v>0</v>
      </c>
      <c r="O57" s="5">
        <f t="shared" si="27"/>
        <v>0</v>
      </c>
      <c r="P57" s="3">
        <f t="shared" si="28"/>
        <v>0</v>
      </c>
      <c r="Q57" s="6">
        <f t="shared" si="29"/>
        <v>0</v>
      </c>
    </row>
    <row r="58" spans="1:17" x14ac:dyDescent="0.4">
      <c r="A58" s="2">
        <v>46025</v>
      </c>
      <c r="B58" s="1" t="s">
        <v>74</v>
      </c>
      <c r="C58" s="1" t="s">
        <v>6</v>
      </c>
      <c r="D58" s="1" t="s">
        <v>71</v>
      </c>
      <c r="E58" s="7">
        <v>172296</v>
      </c>
      <c r="F58" s="4">
        <v>4</v>
      </c>
      <c r="G58" s="4">
        <v>7</v>
      </c>
      <c r="H58" s="4">
        <v>5</v>
      </c>
      <c r="I58" s="4">
        <v>5</v>
      </c>
      <c r="J58" s="4">
        <v>110000</v>
      </c>
      <c r="K58" s="4">
        <v>1</v>
      </c>
      <c r="L58" s="4">
        <v>20000</v>
      </c>
      <c r="M58" s="5">
        <f t="shared" si="25"/>
        <v>0.7142857142857143</v>
      </c>
      <c r="N58" s="5">
        <f t="shared" si="26"/>
        <v>1.75</v>
      </c>
      <c r="O58" s="5">
        <f t="shared" si="27"/>
        <v>1</v>
      </c>
      <c r="P58" s="3">
        <f t="shared" si="28"/>
        <v>24613.714285714286</v>
      </c>
      <c r="Q58" s="6">
        <f t="shared" si="29"/>
        <v>7.6612341551748155</v>
      </c>
    </row>
    <row r="59" spans="1:17" x14ac:dyDescent="0.4">
      <c r="A59" s="2">
        <v>46025</v>
      </c>
      <c r="B59" s="1" t="s">
        <v>75</v>
      </c>
      <c r="C59" s="1" t="s">
        <v>6</v>
      </c>
      <c r="D59" s="1" t="s">
        <v>72</v>
      </c>
      <c r="E59" s="7">
        <v>172296</v>
      </c>
      <c r="F59" s="4">
        <v>4</v>
      </c>
      <c r="G59" s="4">
        <v>1</v>
      </c>
      <c r="H59" s="4">
        <v>1</v>
      </c>
      <c r="I59" s="4">
        <v>1</v>
      </c>
      <c r="J59" s="4">
        <v>20000</v>
      </c>
      <c r="K59" s="4" t="s">
        <v>68</v>
      </c>
      <c r="L59" s="4" t="s">
        <v>68</v>
      </c>
      <c r="M59" s="5">
        <f t="shared" si="25"/>
        <v>1</v>
      </c>
      <c r="N59" s="5">
        <f t="shared" si="26"/>
        <v>0.25</v>
      </c>
      <c r="O59" s="5">
        <f t="shared" si="27"/>
        <v>1</v>
      </c>
      <c r="P59" s="3">
        <f t="shared" si="28"/>
        <v>172296</v>
      </c>
      <c r="Q59" s="6">
        <f t="shared" si="29"/>
        <v>1.3929516645772391</v>
      </c>
    </row>
    <row r="60" spans="1:17" x14ac:dyDescent="0.4">
      <c r="A60" s="2">
        <v>46025</v>
      </c>
      <c r="B60" s="1" t="s">
        <v>76</v>
      </c>
      <c r="C60" s="1" t="s">
        <v>6</v>
      </c>
      <c r="D60" s="1" t="s">
        <v>73</v>
      </c>
      <c r="E60" s="7">
        <v>172296</v>
      </c>
      <c r="F60" s="4">
        <v>4</v>
      </c>
      <c r="G60" s="4" t="s">
        <v>68</v>
      </c>
      <c r="H60" s="4" t="s">
        <v>68</v>
      </c>
      <c r="I60" s="4" t="s">
        <v>68</v>
      </c>
      <c r="J60" s="4" t="s">
        <v>68</v>
      </c>
      <c r="K60" s="4" t="s">
        <v>68</v>
      </c>
      <c r="L60" s="4" t="s">
        <v>68</v>
      </c>
      <c r="M60" s="5">
        <f t="shared" si="25"/>
        <v>0</v>
      </c>
      <c r="N60" s="5">
        <f t="shared" si="26"/>
        <v>0</v>
      </c>
      <c r="O60" s="5">
        <f t="shared" si="27"/>
        <v>0</v>
      </c>
      <c r="P60" s="3">
        <f t="shared" si="28"/>
        <v>0</v>
      </c>
      <c r="Q60" s="6">
        <f t="shared" si="29"/>
        <v>0</v>
      </c>
    </row>
    <row r="61" spans="1:17" x14ac:dyDescent="0.4">
      <c r="A61" s="2">
        <v>46025</v>
      </c>
      <c r="B61" s="1" t="s">
        <v>5</v>
      </c>
      <c r="C61" s="1" t="s">
        <v>6</v>
      </c>
      <c r="D61" s="1" t="s">
        <v>52</v>
      </c>
      <c r="E61" s="7">
        <v>172296</v>
      </c>
      <c r="F61" s="4">
        <v>4</v>
      </c>
      <c r="G61" s="4" t="s">
        <v>68</v>
      </c>
      <c r="H61" s="4" t="s">
        <v>68</v>
      </c>
      <c r="I61" s="4" t="s">
        <v>68</v>
      </c>
      <c r="J61" s="4" t="s">
        <v>68</v>
      </c>
      <c r="K61" s="4" t="s">
        <v>68</v>
      </c>
      <c r="L61" s="4" t="s">
        <v>68</v>
      </c>
      <c r="M61" s="5">
        <f t="shared" si="25"/>
        <v>0</v>
      </c>
      <c r="N61" s="5">
        <f t="shared" si="26"/>
        <v>0</v>
      </c>
      <c r="O61" s="5">
        <f t="shared" si="27"/>
        <v>0</v>
      </c>
      <c r="P61" s="3">
        <f t="shared" si="28"/>
        <v>0</v>
      </c>
      <c r="Q61" s="6">
        <f t="shared" si="29"/>
        <v>0</v>
      </c>
    </row>
    <row r="62" spans="1:17" x14ac:dyDescent="0.4">
      <c r="A62" s="2">
        <v>46025</v>
      </c>
      <c r="B62" s="1" t="s">
        <v>26</v>
      </c>
      <c r="C62" s="1" t="s">
        <v>36</v>
      </c>
      <c r="D62" s="1" t="s">
        <v>52</v>
      </c>
      <c r="E62" s="7">
        <v>0</v>
      </c>
      <c r="F62" s="4">
        <v>2</v>
      </c>
      <c r="G62" s="4">
        <v>1</v>
      </c>
      <c r="H62" s="4">
        <v>1</v>
      </c>
      <c r="I62" s="4">
        <v>1</v>
      </c>
      <c r="J62" s="4">
        <v>20000</v>
      </c>
      <c r="K62" s="4"/>
      <c r="L62" s="4"/>
      <c r="M62" s="5">
        <f t="shared" si="25"/>
        <v>1</v>
      </c>
      <c r="N62" s="5">
        <f t="shared" si="26"/>
        <v>0.5</v>
      </c>
      <c r="O62" s="5">
        <f t="shared" si="27"/>
        <v>1</v>
      </c>
      <c r="P62" s="3">
        <f t="shared" si="28"/>
        <v>0</v>
      </c>
      <c r="Q62" s="6">
        <f t="shared" si="29"/>
        <v>0</v>
      </c>
    </row>
    <row r="63" spans="1:17" x14ac:dyDescent="0.4">
      <c r="A63" s="2">
        <v>46025</v>
      </c>
      <c r="B63" s="1" t="s">
        <v>51</v>
      </c>
      <c r="C63" s="1" t="s">
        <v>50</v>
      </c>
      <c r="D63" s="1" t="s">
        <v>54</v>
      </c>
      <c r="E63" s="7">
        <v>285714.28571428574</v>
      </c>
      <c r="F63" s="4">
        <v>2</v>
      </c>
      <c r="G63" s="4">
        <v>2</v>
      </c>
      <c r="H63" s="4">
        <v>1</v>
      </c>
      <c r="I63" s="4">
        <v>1</v>
      </c>
      <c r="J63" s="4">
        <v>30000</v>
      </c>
      <c r="K63" s="4"/>
      <c r="L63" s="4"/>
      <c r="M63" s="5">
        <f t="shared" si="25"/>
        <v>0.5</v>
      </c>
      <c r="N63" s="5">
        <f t="shared" si="26"/>
        <v>1</v>
      </c>
      <c r="O63" s="5">
        <f t="shared" si="27"/>
        <v>1</v>
      </c>
      <c r="P63" s="3">
        <f t="shared" si="28"/>
        <v>142857.14285714287</v>
      </c>
      <c r="Q63" s="6">
        <f t="shared" si="29"/>
        <v>1.2599999999999998</v>
      </c>
    </row>
    <row r="64" spans="1:17" x14ac:dyDescent="0.4">
      <c r="A64" s="2">
        <v>46025</v>
      </c>
      <c r="B64" s="1" t="s">
        <v>56</v>
      </c>
      <c r="C64" s="1" t="s">
        <v>57</v>
      </c>
      <c r="D64" s="1" t="s">
        <v>59</v>
      </c>
      <c r="E64" s="7">
        <v>195555.55555555556</v>
      </c>
      <c r="F64" s="4">
        <v>6</v>
      </c>
      <c r="G64" s="4"/>
      <c r="H64" s="4"/>
      <c r="I64" s="4"/>
      <c r="J64" s="4"/>
      <c r="K64" s="4"/>
      <c r="L64" s="4"/>
      <c r="M64" s="5">
        <f t="shared" si="25"/>
        <v>0</v>
      </c>
      <c r="N64" s="5">
        <f t="shared" si="26"/>
        <v>0</v>
      </c>
      <c r="O64" s="5">
        <f t="shared" si="27"/>
        <v>0</v>
      </c>
      <c r="P64" s="3">
        <f t="shared" si="28"/>
        <v>0</v>
      </c>
      <c r="Q64" s="6">
        <f t="shared" si="29"/>
        <v>0</v>
      </c>
    </row>
    <row r="65" spans="1:17" x14ac:dyDescent="0.4">
      <c r="A65" s="2">
        <v>46025</v>
      </c>
      <c r="B65" s="1" t="s">
        <v>16</v>
      </c>
      <c r="C65" s="1" t="s">
        <v>58</v>
      </c>
      <c r="D65" s="1" t="s">
        <v>53</v>
      </c>
      <c r="E65" s="7">
        <v>137500</v>
      </c>
      <c r="F65" s="4">
        <v>2</v>
      </c>
      <c r="G65" s="4">
        <v>2</v>
      </c>
      <c r="H65" s="4">
        <v>1</v>
      </c>
      <c r="I65" s="4"/>
      <c r="J65" s="4"/>
      <c r="K65" s="4"/>
      <c r="L65" s="4"/>
      <c r="M65" s="5">
        <f t="shared" si="25"/>
        <v>0.5</v>
      </c>
      <c r="N65" s="5">
        <f t="shared" si="26"/>
        <v>1</v>
      </c>
      <c r="O65" s="5">
        <f t="shared" si="27"/>
        <v>0</v>
      </c>
      <c r="P65" s="3">
        <f t="shared" si="28"/>
        <v>68750</v>
      </c>
      <c r="Q65" s="6">
        <f t="shared" si="29"/>
        <v>0</v>
      </c>
    </row>
    <row r="66" spans="1:17" x14ac:dyDescent="0.4">
      <c r="A66" s="2">
        <v>46025</v>
      </c>
      <c r="B66" s="1" t="s">
        <v>19</v>
      </c>
      <c r="C66" s="1" t="s">
        <v>20</v>
      </c>
      <c r="D66" s="1" t="s">
        <v>34</v>
      </c>
      <c r="E66" s="7">
        <v>187234.04255319148</v>
      </c>
      <c r="F66" s="4">
        <v>4</v>
      </c>
      <c r="G66" s="4"/>
      <c r="H66" s="4"/>
      <c r="I66" s="4"/>
      <c r="J66" s="4"/>
      <c r="K66" s="4"/>
      <c r="L66" s="4"/>
      <c r="M66" s="5">
        <f t="shared" si="25"/>
        <v>0</v>
      </c>
      <c r="N66" s="5">
        <f t="shared" si="26"/>
        <v>0</v>
      </c>
      <c r="O66" s="5">
        <f t="shared" si="27"/>
        <v>0</v>
      </c>
      <c r="P66" s="3">
        <f t="shared" si="28"/>
        <v>0</v>
      </c>
      <c r="Q66" s="6">
        <f t="shared" si="29"/>
        <v>0</v>
      </c>
    </row>
    <row r="67" spans="1:17" x14ac:dyDescent="0.4">
      <c r="A67" s="2">
        <v>46025</v>
      </c>
      <c r="B67" s="1" t="s">
        <v>23</v>
      </c>
      <c r="C67" s="1" t="s">
        <v>37</v>
      </c>
      <c r="D67" s="1" t="s">
        <v>32</v>
      </c>
      <c r="E67" s="7">
        <v>0</v>
      </c>
      <c r="F67" s="4">
        <v>6</v>
      </c>
      <c r="G67" s="4"/>
      <c r="H67" s="4"/>
      <c r="I67" s="4"/>
      <c r="J67" s="4"/>
      <c r="K67" s="4"/>
      <c r="L67" s="4"/>
      <c r="M67" s="5">
        <f t="shared" si="25"/>
        <v>0</v>
      </c>
      <c r="N67" s="5">
        <f t="shared" si="26"/>
        <v>0</v>
      </c>
      <c r="O67" s="5">
        <f t="shared" si="27"/>
        <v>0</v>
      </c>
      <c r="P67" s="3">
        <f t="shared" si="28"/>
        <v>0</v>
      </c>
      <c r="Q67" s="6">
        <f t="shared" si="29"/>
        <v>0</v>
      </c>
    </row>
    <row r="68" spans="1:17" x14ac:dyDescent="0.4">
      <c r="A68" s="2">
        <v>46025</v>
      </c>
      <c r="B68" s="1" t="s">
        <v>21</v>
      </c>
      <c r="C68" s="1" t="s">
        <v>22</v>
      </c>
      <c r="D68" s="1" t="s">
        <v>32</v>
      </c>
      <c r="E68" s="7">
        <v>283870.96774193551</v>
      </c>
      <c r="F68" s="4">
        <v>9</v>
      </c>
      <c r="G68" s="4">
        <v>2</v>
      </c>
      <c r="H68" s="4">
        <v>1</v>
      </c>
      <c r="I68" s="4">
        <v>1</v>
      </c>
      <c r="J68" s="4">
        <v>30000</v>
      </c>
      <c r="K68" s="4"/>
      <c r="L68" s="4"/>
      <c r="M68" s="5">
        <f t="shared" si="25"/>
        <v>0.5</v>
      </c>
      <c r="N68" s="5">
        <f t="shared" si="26"/>
        <v>0.22222222222222221</v>
      </c>
      <c r="O68" s="5">
        <f t="shared" si="27"/>
        <v>1</v>
      </c>
      <c r="P68" s="3">
        <f t="shared" si="28"/>
        <v>141935.48387096776</v>
      </c>
      <c r="Q68" s="6">
        <f t="shared" si="29"/>
        <v>1.2681818181818181</v>
      </c>
    </row>
    <row r="69" spans="1:17" x14ac:dyDescent="0.4">
      <c r="A69" s="2">
        <v>46025</v>
      </c>
      <c r="B69" s="1" t="s">
        <v>60</v>
      </c>
      <c r="C69" s="1" t="s">
        <v>63</v>
      </c>
      <c r="D69" s="1" t="s">
        <v>53</v>
      </c>
      <c r="E69" s="7">
        <v>123975.40983606559</v>
      </c>
      <c r="F69" s="4">
        <v>3</v>
      </c>
      <c r="G69" s="4"/>
      <c r="H69" s="4"/>
      <c r="I69" s="4"/>
      <c r="J69" s="4"/>
      <c r="K69" s="4"/>
      <c r="L69" s="4"/>
      <c r="M69" s="5">
        <f t="shared" si="25"/>
        <v>0</v>
      </c>
      <c r="N69" s="5">
        <f t="shared" si="26"/>
        <v>0</v>
      </c>
      <c r="O69" s="5">
        <f t="shared" si="27"/>
        <v>0</v>
      </c>
      <c r="P69" s="3">
        <f t="shared" si="28"/>
        <v>0</v>
      </c>
      <c r="Q69" s="6">
        <f t="shared" si="29"/>
        <v>0</v>
      </c>
    </row>
    <row r="70" spans="1:17" x14ac:dyDescent="0.4">
      <c r="A70" s="2">
        <v>46025</v>
      </c>
      <c r="B70" s="1" t="s">
        <v>61</v>
      </c>
      <c r="C70" s="1" t="s">
        <v>64</v>
      </c>
      <c r="D70" s="1" t="s">
        <v>66</v>
      </c>
      <c r="E70" s="7">
        <v>0</v>
      </c>
      <c r="F70" s="4">
        <v>6</v>
      </c>
      <c r="G70" s="4"/>
      <c r="H70" s="4"/>
      <c r="I70" s="4"/>
      <c r="J70" s="4"/>
      <c r="K70" s="4"/>
      <c r="L70" s="4"/>
      <c r="M70" s="5">
        <f t="shared" si="25"/>
        <v>0</v>
      </c>
      <c r="N70" s="5">
        <f t="shared" si="26"/>
        <v>0</v>
      </c>
      <c r="O70" s="5">
        <f t="shared" si="27"/>
        <v>0</v>
      </c>
      <c r="P70" s="3">
        <f t="shared" si="28"/>
        <v>0</v>
      </c>
      <c r="Q70" s="6">
        <f t="shared" si="29"/>
        <v>0</v>
      </c>
    </row>
    <row r="71" spans="1:17" x14ac:dyDescent="0.4">
      <c r="A71" s="2">
        <v>46025</v>
      </c>
      <c r="B71" s="1" t="s">
        <v>62</v>
      </c>
      <c r="C71" s="1" t="s">
        <v>65</v>
      </c>
      <c r="D71" s="1" t="s">
        <v>67</v>
      </c>
      <c r="E71" s="7">
        <v>423076.92307692312</v>
      </c>
      <c r="F71" s="4">
        <v>4</v>
      </c>
      <c r="G71" s="4">
        <v>1</v>
      </c>
      <c r="H71" s="4">
        <v>1</v>
      </c>
      <c r="I71" s="4">
        <v>1</v>
      </c>
      <c r="J71" s="4">
        <v>20000</v>
      </c>
      <c r="K71" s="4"/>
      <c r="L71" s="4"/>
      <c r="M71" s="5">
        <f t="shared" si="25"/>
        <v>1</v>
      </c>
      <c r="N71" s="5">
        <f t="shared" si="26"/>
        <v>0.25</v>
      </c>
      <c r="O71" s="5">
        <f t="shared" si="27"/>
        <v>1</v>
      </c>
      <c r="P71" s="3">
        <f t="shared" si="28"/>
        <v>423076.92307692312</v>
      </c>
      <c r="Q71" s="6">
        <f t="shared" si="29"/>
        <v>0.56727272727272726</v>
      </c>
    </row>
    <row r="72" spans="1:17" x14ac:dyDescent="0.4">
      <c r="A72" s="2">
        <v>46025</v>
      </c>
      <c r="B72" s="1" t="s">
        <v>42</v>
      </c>
      <c r="C72" s="1" t="s">
        <v>38</v>
      </c>
      <c r="D72" s="1" t="s">
        <v>42</v>
      </c>
      <c r="E72" s="7">
        <v>0</v>
      </c>
      <c r="F72" s="4">
        <v>0</v>
      </c>
      <c r="G72" s="4"/>
      <c r="H72" s="4"/>
      <c r="I72" s="4"/>
      <c r="J72" s="4"/>
      <c r="K72" s="4"/>
      <c r="L72" s="4"/>
      <c r="M72" s="5">
        <f t="shared" si="25"/>
        <v>0</v>
      </c>
      <c r="N72" s="5">
        <f t="shared" si="26"/>
        <v>0</v>
      </c>
      <c r="O72" s="5">
        <f t="shared" si="27"/>
        <v>0</v>
      </c>
      <c r="P72" s="3">
        <f t="shared" si="28"/>
        <v>0</v>
      </c>
      <c r="Q72" s="6">
        <f t="shared" si="29"/>
        <v>0</v>
      </c>
    </row>
    <row r="73" spans="1:17" x14ac:dyDescent="0.4">
      <c r="A73" s="2">
        <v>46025</v>
      </c>
      <c r="B73" s="1" t="s">
        <v>7</v>
      </c>
      <c r="C73" s="1" t="s">
        <v>8</v>
      </c>
      <c r="D73" s="1" t="s">
        <v>42</v>
      </c>
      <c r="E73" s="7">
        <v>0</v>
      </c>
      <c r="F73" s="4">
        <v>0</v>
      </c>
      <c r="G73" s="3"/>
      <c r="H73" s="3"/>
      <c r="I73" s="3"/>
      <c r="J73" s="3"/>
      <c r="K73" s="3"/>
      <c r="L73" s="3"/>
      <c r="M73" s="5">
        <f t="shared" si="25"/>
        <v>0</v>
      </c>
      <c r="N73" s="5">
        <f t="shared" si="26"/>
        <v>0</v>
      </c>
      <c r="O73" s="5">
        <f t="shared" si="27"/>
        <v>0</v>
      </c>
      <c r="P73" s="3">
        <f t="shared" si="28"/>
        <v>0</v>
      </c>
      <c r="Q73" s="6">
        <f t="shared" si="29"/>
        <v>0</v>
      </c>
    </row>
    <row r="74" spans="1:17" x14ac:dyDescent="0.4">
      <c r="A74" s="2">
        <v>46026</v>
      </c>
      <c r="B74" s="1" t="s">
        <v>13</v>
      </c>
      <c r="C74" s="1" t="s">
        <v>14</v>
      </c>
      <c r="D74" s="1" t="s">
        <v>31</v>
      </c>
      <c r="E74" s="7">
        <v>808456.29965947894</v>
      </c>
      <c r="F74" s="4">
        <v>2</v>
      </c>
      <c r="G74" s="4">
        <v>1</v>
      </c>
      <c r="H74" s="4">
        <v>1</v>
      </c>
      <c r="I74" s="4"/>
      <c r="J74" s="4"/>
      <c r="K74" s="4"/>
      <c r="L74" s="4"/>
      <c r="M74" s="5">
        <f t="shared" si="25"/>
        <v>1</v>
      </c>
      <c r="N74" s="5">
        <f t="shared" si="26"/>
        <v>0.5</v>
      </c>
      <c r="O74" s="5">
        <f t="shared" si="27"/>
        <v>0</v>
      </c>
      <c r="P74" s="3">
        <f t="shared" si="28"/>
        <v>808456.29965947894</v>
      </c>
      <c r="Q74" s="6">
        <f t="shared" si="29"/>
        <v>0</v>
      </c>
    </row>
    <row r="75" spans="1:17" x14ac:dyDescent="0.4">
      <c r="A75" s="2">
        <v>46026</v>
      </c>
      <c r="B75" s="1" t="s">
        <v>11</v>
      </c>
      <c r="C75" s="1" t="s">
        <v>12</v>
      </c>
      <c r="D75" s="1" t="s">
        <v>32</v>
      </c>
      <c r="E75" s="7">
        <v>124060.15037593986</v>
      </c>
      <c r="F75" s="4">
        <v>3</v>
      </c>
      <c r="G75" s="4"/>
      <c r="H75" s="4"/>
      <c r="I75" s="4"/>
      <c r="J75" s="4"/>
      <c r="K75" s="4"/>
      <c r="L75" s="4"/>
      <c r="M75" s="5">
        <f t="shared" si="25"/>
        <v>0</v>
      </c>
      <c r="N75" s="5">
        <f t="shared" si="26"/>
        <v>0</v>
      </c>
      <c r="O75" s="5">
        <f t="shared" si="27"/>
        <v>0</v>
      </c>
      <c r="P75" s="3">
        <f t="shared" si="28"/>
        <v>0</v>
      </c>
      <c r="Q75" s="6">
        <f t="shared" si="29"/>
        <v>0</v>
      </c>
    </row>
    <row r="76" spans="1:17" x14ac:dyDescent="0.4">
      <c r="A76" s="2">
        <v>46026</v>
      </c>
      <c r="B76" s="1" t="s">
        <v>17</v>
      </c>
      <c r="C76" s="1" t="s">
        <v>18</v>
      </c>
      <c r="D76" s="1" t="s">
        <v>53</v>
      </c>
      <c r="E76" s="7">
        <v>177419.35483870967</v>
      </c>
      <c r="F76" s="4">
        <v>4</v>
      </c>
      <c r="G76" s="4"/>
      <c r="H76" s="4"/>
      <c r="I76" s="4"/>
      <c r="J76" s="4"/>
      <c r="K76" s="4"/>
      <c r="L76" s="4"/>
      <c r="M76" s="5">
        <f t="shared" si="25"/>
        <v>0</v>
      </c>
      <c r="N76" s="5">
        <f t="shared" si="26"/>
        <v>0</v>
      </c>
      <c r="O76" s="5">
        <f t="shared" si="27"/>
        <v>0</v>
      </c>
      <c r="P76" s="3">
        <f t="shared" si="28"/>
        <v>0</v>
      </c>
      <c r="Q76" s="6">
        <f t="shared" si="29"/>
        <v>0</v>
      </c>
    </row>
    <row r="77" spans="1:17" x14ac:dyDescent="0.4">
      <c r="A77" s="2">
        <v>46026</v>
      </c>
      <c r="B77" s="1" t="s">
        <v>25</v>
      </c>
      <c r="C77" s="1" t="s">
        <v>35</v>
      </c>
      <c r="D77" s="1" t="s">
        <v>32</v>
      </c>
      <c r="E77" s="7">
        <v>0</v>
      </c>
      <c r="F77" s="4">
        <v>5</v>
      </c>
      <c r="G77" s="4"/>
      <c r="H77" s="4"/>
      <c r="I77" s="4"/>
      <c r="J77" s="4"/>
      <c r="K77" s="4"/>
      <c r="L77" s="4"/>
      <c r="M77" s="5">
        <f t="shared" si="25"/>
        <v>0</v>
      </c>
      <c r="N77" s="5">
        <f t="shared" si="26"/>
        <v>0</v>
      </c>
      <c r="O77" s="5">
        <f t="shared" si="27"/>
        <v>0</v>
      </c>
      <c r="P77" s="3">
        <f t="shared" si="28"/>
        <v>0</v>
      </c>
      <c r="Q77" s="6">
        <f t="shared" si="29"/>
        <v>0</v>
      </c>
    </row>
    <row r="78" spans="1:17" x14ac:dyDescent="0.4">
      <c r="A78" s="2">
        <v>46026</v>
      </c>
      <c r="B78" s="1" t="s">
        <v>24</v>
      </c>
      <c r="C78" s="1" t="s">
        <v>6</v>
      </c>
      <c r="D78" s="1" t="s">
        <v>69</v>
      </c>
      <c r="E78" s="7">
        <v>209777</v>
      </c>
      <c r="F78" s="4">
        <v>5</v>
      </c>
      <c r="G78" s="4">
        <v>2</v>
      </c>
      <c r="H78" s="4">
        <v>2</v>
      </c>
      <c r="I78" s="4">
        <v>2</v>
      </c>
      <c r="J78" s="4">
        <v>40000</v>
      </c>
      <c r="K78" s="4" t="s">
        <v>68</v>
      </c>
      <c r="L78" s="4" t="s">
        <v>68</v>
      </c>
      <c r="M78" s="5">
        <f t="shared" si="25"/>
        <v>1</v>
      </c>
      <c r="N78" s="5">
        <f t="shared" si="26"/>
        <v>0.4</v>
      </c>
      <c r="O78" s="5">
        <f t="shared" si="27"/>
        <v>1</v>
      </c>
      <c r="P78" s="3">
        <f t="shared" si="28"/>
        <v>104888.5</v>
      </c>
      <c r="Q78" s="6">
        <f t="shared" si="29"/>
        <v>2.2881440768053696</v>
      </c>
    </row>
    <row r="79" spans="1:17" x14ac:dyDescent="0.4">
      <c r="A79" s="2">
        <v>46026</v>
      </c>
      <c r="B79" s="1" t="s">
        <v>9</v>
      </c>
      <c r="C79" s="1" t="s">
        <v>6</v>
      </c>
      <c r="D79" s="1" t="s">
        <v>70</v>
      </c>
      <c r="E79" s="7">
        <v>377599</v>
      </c>
      <c r="F79" s="4">
        <v>9</v>
      </c>
      <c r="G79" s="4" t="s">
        <v>68</v>
      </c>
      <c r="H79" s="4" t="s">
        <v>68</v>
      </c>
      <c r="I79" s="4">
        <v>1</v>
      </c>
      <c r="J79" s="4">
        <v>20000</v>
      </c>
      <c r="K79" s="4" t="s">
        <v>68</v>
      </c>
      <c r="L79" s="4" t="s">
        <v>68</v>
      </c>
      <c r="M79" s="5">
        <f t="shared" si="25"/>
        <v>0</v>
      </c>
      <c r="N79" s="5">
        <f t="shared" si="26"/>
        <v>0</v>
      </c>
      <c r="O79" s="5">
        <f t="shared" si="27"/>
        <v>0</v>
      </c>
      <c r="P79" s="3">
        <f t="shared" si="28"/>
        <v>0</v>
      </c>
      <c r="Q79" s="6">
        <f t="shared" si="29"/>
        <v>0.63559490358819803</v>
      </c>
    </row>
    <row r="80" spans="1:17" x14ac:dyDescent="0.4">
      <c r="A80" s="2">
        <v>46026</v>
      </c>
      <c r="B80" s="1" t="s">
        <v>15</v>
      </c>
      <c r="C80" s="1" t="s">
        <v>6</v>
      </c>
      <c r="D80" s="1" t="s">
        <v>44</v>
      </c>
      <c r="E80" s="7">
        <v>377599</v>
      </c>
      <c r="F80" s="4">
        <v>9</v>
      </c>
      <c r="G80" s="4">
        <v>2</v>
      </c>
      <c r="H80" s="4">
        <v>2</v>
      </c>
      <c r="I80" s="4">
        <v>1</v>
      </c>
      <c r="J80" s="4">
        <v>20000</v>
      </c>
      <c r="K80" s="4" t="s">
        <v>68</v>
      </c>
      <c r="L80" s="4" t="s">
        <v>68</v>
      </c>
      <c r="M80" s="5">
        <f t="shared" si="25"/>
        <v>1</v>
      </c>
      <c r="N80" s="5">
        <f t="shared" si="26"/>
        <v>0.22222222222222221</v>
      </c>
      <c r="O80" s="5">
        <f t="shared" si="27"/>
        <v>0.5</v>
      </c>
      <c r="P80" s="3">
        <f t="shared" si="28"/>
        <v>188799.5</v>
      </c>
      <c r="Q80" s="6">
        <f t="shared" si="29"/>
        <v>0.63559490358819803</v>
      </c>
    </row>
    <row r="81" spans="1:17" x14ac:dyDescent="0.4">
      <c r="A81" s="2">
        <v>46026</v>
      </c>
      <c r="B81" s="1" t="s">
        <v>10</v>
      </c>
      <c r="C81" s="1" t="s">
        <v>6</v>
      </c>
      <c r="D81" s="1" t="s">
        <v>33</v>
      </c>
      <c r="E81" s="7">
        <v>167822</v>
      </c>
      <c r="F81" s="4">
        <v>4</v>
      </c>
      <c r="G81" s="4">
        <v>1</v>
      </c>
      <c r="H81" s="4">
        <v>1</v>
      </c>
      <c r="I81" s="4">
        <v>1</v>
      </c>
      <c r="J81" s="4">
        <v>10000</v>
      </c>
      <c r="K81" s="4" t="s">
        <v>68</v>
      </c>
      <c r="L81" s="4" t="s">
        <v>68</v>
      </c>
      <c r="M81" s="5">
        <f t="shared" si="25"/>
        <v>1</v>
      </c>
      <c r="N81" s="5">
        <f t="shared" si="26"/>
        <v>0.25</v>
      </c>
      <c r="O81" s="5">
        <f t="shared" si="27"/>
        <v>1</v>
      </c>
      <c r="P81" s="3">
        <f t="shared" si="28"/>
        <v>167822</v>
      </c>
      <c r="Q81" s="6">
        <f t="shared" si="29"/>
        <v>0.71504331970778567</v>
      </c>
    </row>
    <row r="82" spans="1:17" x14ac:dyDescent="0.4">
      <c r="A82" s="2">
        <v>46026</v>
      </c>
      <c r="B82" s="1" t="s">
        <v>74</v>
      </c>
      <c r="C82" s="1" t="s">
        <v>6</v>
      </c>
      <c r="D82" s="1" t="s">
        <v>71</v>
      </c>
      <c r="E82" s="7">
        <v>209777</v>
      </c>
      <c r="F82" s="4">
        <v>5</v>
      </c>
      <c r="G82" s="4">
        <v>1</v>
      </c>
      <c r="H82" s="4">
        <v>1</v>
      </c>
      <c r="I82" s="4" t="s">
        <v>68</v>
      </c>
      <c r="J82" s="4" t="s">
        <v>68</v>
      </c>
      <c r="K82" s="4" t="s">
        <v>68</v>
      </c>
      <c r="L82" s="4" t="s">
        <v>68</v>
      </c>
      <c r="M82" s="5">
        <f t="shared" si="25"/>
        <v>1</v>
      </c>
      <c r="N82" s="5">
        <f t="shared" si="26"/>
        <v>0.2</v>
      </c>
      <c r="O82" s="5">
        <f t="shared" si="27"/>
        <v>0</v>
      </c>
      <c r="P82" s="3">
        <f t="shared" si="28"/>
        <v>209777</v>
      </c>
      <c r="Q82" s="6">
        <f t="shared" si="29"/>
        <v>0</v>
      </c>
    </row>
    <row r="83" spans="1:17" x14ac:dyDescent="0.4">
      <c r="A83" s="2">
        <v>46026</v>
      </c>
      <c r="B83" s="1" t="s">
        <v>75</v>
      </c>
      <c r="C83" s="1" t="s">
        <v>6</v>
      </c>
      <c r="D83" s="1" t="s">
        <v>72</v>
      </c>
      <c r="E83" s="7">
        <v>167822</v>
      </c>
      <c r="F83" s="4">
        <v>4</v>
      </c>
      <c r="G83" s="4" t="s">
        <v>68</v>
      </c>
      <c r="H83" s="4" t="s">
        <v>68</v>
      </c>
      <c r="I83" s="4" t="s">
        <v>68</v>
      </c>
      <c r="J83" s="4" t="s">
        <v>68</v>
      </c>
      <c r="K83" s="4" t="s">
        <v>68</v>
      </c>
      <c r="L83" s="4" t="s">
        <v>68</v>
      </c>
      <c r="M83" s="5">
        <f t="shared" si="25"/>
        <v>0</v>
      </c>
      <c r="N83" s="5">
        <f t="shared" si="26"/>
        <v>0</v>
      </c>
      <c r="O83" s="5">
        <f t="shared" si="27"/>
        <v>0</v>
      </c>
      <c r="P83" s="3">
        <f t="shared" si="28"/>
        <v>0</v>
      </c>
      <c r="Q83" s="6">
        <f t="shared" si="29"/>
        <v>0</v>
      </c>
    </row>
    <row r="84" spans="1:17" x14ac:dyDescent="0.4">
      <c r="A84" s="2">
        <v>46026</v>
      </c>
      <c r="B84" s="1" t="s">
        <v>76</v>
      </c>
      <c r="C84" s="1" t="s">
        <v>6</v>
      </c>
      <c r="D84" s="1" t="s">
        <v>73</v>
      </c>
      <c r="E84" s="7">
        <v>209777</v>
      </c>
      <c r="F84" s="4">
        <v>5</v>
      </c>
      <c r="G84" s="4" t="s">
        <v>68</v>
      </c>
      <c r="H84" s="4" t="s">
        <v>68</v>
      </c>
      <c r="I84" s="4" t="s">
        <v>68</v>
      </c>
      <c r="J84" s="4" t="s">
        <v>68</v>
      </c>
      <c r="K84" s="4" t="s">
        <v>68</v>
      </c>
      <c r="L84" s="4" t="s">
        <v>68</v>
      </c>
      <c r="M84" s="5">
        <f t="shared" si="25"/>
        <v>0</v>
      </c>
      <c r="N84" s="5">
        <f t="shared" si="26"/>
        <v>0</v>
      </c>
      <c r="O84" s="5">
        <f t="shared" si="27"/>
        <v>0</v>
      </c>
      <c r="P84" s="3">
        <f t="shared" si="28"/>
        <v>0</v>
      </c>
      <c r="Q84" s="6">
        <f t="shared" si="29"/>
        <v>0</v>
      </c>
    </row>
    <row r="85" spans="1:17" x14ac:dyDescent="0.4">
      <c r="A85" s="2">
        <v>46026</v>
      </c>
      <c r="B85" s="1" t="s">
        <v>5</v>
      </c>
      <c r="C85" s="1" t="s">
        <v>6</v>
      </c>
      <c r="D85" s="1" t="s">
        <v>52</v>
      </c>
      <c r="E85" s="7">
        <v>209777</v>
      </c>
      <c r="F85" s="4">
        <v>5</v>
      </c>
      <c r="G85" s="4">
        <v>1</v>
      </c>
      <c r="H85" s="4">
        <v>1</v>
      </c>
      <c r="I85" s="4">
        <v>1</v>
      </c>
      <c r="J85" s="4">
        <v>20000</v>
      </c>
      <c r="K85" s="4" t="s">
        <v>68</v>
      </c>
      <c r="L85" s="4" t="s">
        <v>68</v>
      </c>
      <c r="M85" s="5">
        <f t="shared" si="25"/>
        <v>1</v>
      </c>
      <c r="N85" s="5">
        <f t="shared" si="26"/>
        <v>0.2</v>
      </c>
      <c r="O85" s="5">
        <f t="shared" si="27"/>
        <v>1</v>
      </c>
      <c r="P85" s="3">
        <f t="shared" si="28"/>
        <v>209777</v>
      </c>
      <c r="Q85" s="6">
        <f t="shared" si="29"/>
        <v>1.1440720384026848</v>
      </c>
    </row>
    <row r="86" spans="1:17" x14ac:dyDescent="0.4">
      <c r="A86" s="2">
        <v>46026</v>
      </c>
      <c r="B86" s="1" t="s">
        <v>26</v>
      </c>
      <c r="C86" s="1" t="s">
        <v>36</v>
      </c>
      <c r="D86" s="1" t="s">
        <v>52</v>
      </c>
      <c r="E86" s="7">
        <v>0</v>
      </c>
      <c r="F86" s="4">
        <v>2</v>
      </c>
      <c r="G86" s="4"/>
      <c r="H86" s="4"/>
      <c r="I86" s="4"/>
      <c r="J86" s="4"/>
      <c r="K86" s="4"/>
      <c r="L86" s="4"/>
      <c r="M86" s="5">
        <f t="shared" si="25"/>
        <v>0</v>
      </c>
      <c r="N86" s="5">
        <f t="shared" si="26"/>
        <v>0</v>
      </c>
      <c r="O86" s="5">
        <f t="shared" si="27"/>
        <v>0</v>
      </c>
      <c r="P86" s="3">
        <f t="shared" si="28"/>
        <v>0</v>
      </c>
      <c r="Q86" s="6">
        <f t="shared" si="29"/>
        <v>0</v>
      </c>
    </row>
    <row r="87" spans="1:17" x14ac:dyDescent="0.4">
      <c r="A87" s="2">
        <v>46026</v>
      </c>
      <c r="B87" s="1" t="s">
        <v>51</v>
      </c>
      <c r="C87" s="1" t="s">
        <v>50</v>
      </c>
      <c r="D87" s="1" t="s">
        <v>54</v>
      </c>
      <c r="E87" s="7">
        <v>428571.42857142858</v>
      </c>
      <c r="F87" s="4">
        <v>3</v>
      </c>
      <c r="G87" s="4"/>
      <c r="H87" s="4"/>
      <c r="I87" s="4">
        <v>1</v>
      </c>
      <c r="J87" s="4">
        <v>25000</v>
      </c>
      <c r="K87" s="4"/>
      <c r="L87" s="4"/>
      <c r="M87" s="5">
        <f t="shared" si="25"/>
        <v>0</v>
      </c>
      <c r="N87" s="5">
        <f t="shared" si="26"/>
        <v>0</v>
      </c>
      <c r="O87" s="5">
        <f t="shared" si="27"/>
        <v>0</v>
      </c>
      <c r="P87" s="3">
        <f t="shared" si="28"/>
        <v>0</v>
      </c>
      <c r="Q87" s="6">
        <f t="shared" si="29"/>
        <v>0.7</v>
      </c>
    </row>
    <row r="88" spans="1:17" x14ac:dyDescent="0.4">
      <c r="A88" s="2">
        <v>46026</v>
      </c>
      <c r="B88" s="1" t="s">
        <v>56</v>
      </c>
      <c r="C88" s="1" t="s">
        <v>57</v>
      </c>
      <c r="D88" s="1" t="s">
        <v>59</v>
      </c>
      <c r="E88" s="7">
        <v>195555.55555555556</v>
      </c>
      <c r="F88" s="4">
        <v>6</v>
      </c>
      <c r="G88" s="4">
        <v>2</v>
      </c>
      <c r="H88" s="4">
        <v>2</v>
      </c>
      <c r="I88" s="4">
        <v>1</v>
      </c>
      <c r="J88" s="4">
        <v>30000</v>
      </c>
      <c r="K88" s="4"/>
      <c r="L88" s="4"/>
      <c r="M88" s="5">
        <f t="shared" si="25"/>
        <v>1</v>
      </c>
      <c r="N88" s="5">
        <f t="shared" si="26"/>
        <v>0.33333333333333331</v>
      </c>
      <c r="O88" s="5">
        <f t="shared" si="27"/>
        <v>0.5</v>
      </c>
      <c r="P88" s="3">
        <f t="shared" si="28"/>
        <v>97777.777777777781</v>
      </c>
      <c r="Q88" s="6">
        <f t="shared" si="29"/>
        <v>1.8409090909090908</v>
      </c>
    </row>
    <row r="89" spans="1:17" x14ac:dyDescent="0.4">
      <c r="A89" s="2">
        <v>46026</v>
      </c>
      <c r="B89" s="1" t="s">
        <v>16</v>
      </c>
      <c r="C89" s="1" t="s">
        <v>58</v>
      </c>
      <c r="D89" s="1" t="s">
        <v>53</v>
      </c>
      <c r="E89" s="7">
        <v>137500</v>
      </c>
      <c r="F89" s="4">
        <v>2</v>
      </c>
      <c r="G89" s="4">
        <v>1</v>
      </c>
      <c r="H89" s="4">
        <v>1</v>
      </c>
      <c r="I89" s="4"/>
      <c r="J89" s="4"/>
      <c r="K89" s="4">
        <v>1</v>
      </c>
      <c r="L89" s="4">
        <v>20000</v>
      </c>
      <c r="M89" s="5">
        <f t="shared" si="25"/>
        <v>1</v>
      </c>
      <c r="N89" s="5">
        <f t="shared" si="26"/>
        <v>0.5</v>
      </c>
      <c r="O89" s="5">
        <f t="shared" si="27"/>
        <v>0</v>
      </c>
      <c r="P89" s="3">
        <f t="shared" si="28"/>
        <v>137500</v>
      </c>
      <c r="Q89" s="6">
        <f t="shared" si="29"/>
        <v>0</v>
      </c>
    </row>
    <row r="90" spans="1:17" x14ac:dyDescent="0.4">
      <c r="A90" s="2">
        <v>46026</v>
      </c>
      <c r="B90" s="1" t="s">
        <v>19</v>
      </c>
      <c r="C90" s="1" t="s">
        <v>20</v>
      </c>
      <c r="D90" s="1" t="s">
        <v>34</v>
      </c>
      <c r="E90" s="7">
        <v>163829.78723404257</v>
      </c>
      <c r="F90" s="4">
        <v>4</v>
      </c>
      <c r="G90" s="4"/>
      <c r="H90" s="4"/>
      <c r="I90" s="4"/>
      <c r="J90" s="4"/>
      <c r="K90" s="4"/>
      <c r="L90" s="4"/>
      <c r="M90" s="5">
        <f t="shared" si="25"/>
        <v>0</v>
      </c>
      <c r="N90" s="5">
        <f t="shared" si="26"/>
        <v>0</v>
      </c>
      <c r="O90" s="5">
        <f t="shared" si="27"/>
        <v>0</v>
      </c>
      <c r="P90" s="3">
        <f t="shared" si="28"/>
        <v>0</v>
      </c>
      <c r="Q90" s="6">
        <f t="shared" si="29"/>
        <v>0</v>
      </c>
    </row>
    <row r="91" spans="1:17" x14ac:dyDescent="0.4">
      <c r="A91" s="2">
        <v>46026</v>
      </c>
      <c r="B91" s="1" t="s">
        <v>23</v>
      </c>
      <c r="C91" s="1" t="s">
        <v>37</v>
      </c>
      <c r="D91" s="1" t="s">
        <v>32</v>
      </c>
      <c r="E91" s="7">
        <v>0</v>
      </c>
      <c r="F91" s="4">
        <v>6</v>
      </c>
      <c r="G91" s="4"/>
      <c r="H91" s="4"/>
      <c r="I91" s="4"/>
      <c r="J91" s="4"/>
      <c r="K91" s="4"/>
      <c r="L91" s="4"/>
      <c r="M91" s="5">
        <f t="shared" si="25"/>
        <v>0</v>
      </c>
      <c r="N91" s="5">
        <f t="shared" si="26"/>
        <v>0</v>
      </c>
      <c r="O91" s="5">
        <f t="shared" si="27"/>
        <v>0</v>
      </c>
      <c r="P91" s="3">
        <f t="shared" si="28"/>
        <v>0</v>
      </c>
      <c r="Q91" s="6">
        <f t="shared" si="29"/>
        <v>0</v>
      </c>
    </row>
    <row r="92" spans="1:17" x14ac:dyDescent="0.4">
      <c r="A92" s="2">
        <v>46026</v>
      </c>
      <c r="B92" s="1" t="s">
        <v>21</v>
      </c>
      <c r="C92" s="1" t="s">
        <v>22</v>
      </c>
      <c r="D92" s="1" t="s">
        <v>32</v>
      </c>
      <c r="E92" s="7">
        <v>283870.96774193551</v>
      </c>
      <c r="F92" s="4">
        <v>9</v>
      </c>
      <c r="G92" s="4"/>
      <c r="H92" s="4"/>
      <c r="I92" s="4"/>
      <c r="J92" s="4"/>
      <c r="K92" s="4"/>
      <c r="L92" s="4"/>
      <c r="M92" s="5">
        <f t="shared" si="25"/>
        <v>0</v>
      </c>
      <c r="N92" s="5">
        <f t="shared" si="26"/>
        <v>0</v>
      </c>
      <c r="O92" s="5">
        <f t="shared" si="27"/>
        <v>0</v>
      </c>
      <c r="P92" s="3">
        <f t="shared" si="28"/>
        <v>0</v>
      </c>
      <c r="Q92" s="6">
        <f t="shared" si="29"/>
        <v>0</v>
      </c>
    </row>
    <row r="93" spans="1:17" x14ac:dyDescent="0.4">
      <c r="A93" s="2">
        <v>46026</v>
      </c>
      <c r="B93" s="1" t="s">
        <v>60</v>
      </c>
      <c r="C93" s="1" t="s">
        <v>63</v>
      </c>
      <c r="D93" s="1" t="s">
        <v>53</v>
      </c>
      <c r="E93" s="7">
        <v>123975.40983606559</v>
      </c>
      <c r="F93" s="4">
        <v>3</v>
      </c>
      <c r="G93" s="4"/>
      <c r="H93" s="4"/>
      <c r="I93" s="4"/>
      <c r="J93" s="4"/>
      <c r="K93" s="4"/>
      <c r="L93" s="4"/>
      <c r="M93" s="5">
        <f t="shared" si="25"/>
        <v>0</v>
      </c>
      <c r="N93" s="5">
        <f t="shared" si="26"/>
        <v>0</v>
      </c>
      <c r="O93" s="5">
        <f t="shared" si="27"/>
        <v>0</v>
      </c>
      <c r="P93" s="3">
        <f t="shared" si="28"/>
        <v>0</v>
      </c>
      <c r="Q93" s="6">
        <f t="shared" si="29"/>
        <v>0</v>
      </c>
    </row>
    <row r="94" spans="1:17" x14ac:dyDescent="0.4">
      <c r="A94" s="2">
        <v>46026</v>
      </c>
      <c r="B94" s="1" t="s">
        <v>61</v>
      </c>
      <c r="C94" s="1" t="s">
        <v>64</v>
      </c>
      <c r="D94" s="1" t="s">
        <v>66</v>
      </c>
      <c r="E94" s="7">
        <v>0</v>
      </c>
      <c r="F94" s="4">
        <v>3</v>
      </c>
      <c r="G94" s="4"/>
      <c r="H94" s="4"/>
      <c r="I94" s="4"/>
      <c r="J94" s="4"/>
      <c r="K94" s="4"/>
      <c r="L94" s="4"/>
      <c r="M94" s="5">
        <f t="shared" si="25"/>
        <v>0</v>
      </c>
      <c r="N94" s="5">
        <f t="shared" si="26"/>
        <v>0</v>
      </c>
      <c r="O94" s="5">
        <f t="shared" si="27"/>
        <v>0</v>
      </c>
      <c r="P94" s="3">
        <f t="shared" si="28"/>
        <v>0</v>
      </c>
      <c r="Q94" s="6">
        <f t="shared" si="29"/>
        <v>0</v>
      </c>
    </row>
    <row r="95" spans="1:17" x14ac:dyDescent="0.4">
      <c r="A95" s="2">
        <v>46026</v>
      </c>
      <c r="B95" s="1" t="s">
        <v>62</v>
      </c>
      <c r="C95" s="1" t="s">
        <v>65</v>
      </c>
      <c r="D95" s="1" t="s">
        <v>67</v>
      </c>
      <c r="E95" s="7">
        <v>423076.92307692312</v>
      </c>
      <c r="F95" s="4">
        <v>4</v>
      </c>
      <c r="G95" s="4"/>
      <c r="H95" s="4"/>
      <c r="I95" s="4"/>
      <c r="J95" s="4"/>
      <c r="K95" s="4"/>
      <c r="L95" s="4"/>
      <c r="M95" s="5">
        <f t="shared" si="25"/>
        <v>0</v>
      </c>
      <c r="N95" s="5">
        <f t="shared" si="26"/>
        <v>0</v>
      </c>
      <c r="O95" s="5">
        <f t="shared" si="27"/>
        <v>0</v>
      </c>
      <c r="P95" s="3">
        <f t="shared" si="28"/>
        <v>0</v>
      </c>
      <c r="Q95" s="6">
        <f t="shared" si="29"/>
        <v>0</v>
      </c>
    </row>
    <row r="96" spans="1:17" x14ac:dyDescent="0.4">
      <c r="A96" s="2">
        <v>46026</v>
      </c>
      <c r="B96" s="1" t="s">
        <v>42</v>
      </c>
      <c r="C96" s="1" t="s">
        <v>38</v>
      </c>
      <c r="D96" s="1" t="s">
        <v>42</v>
      </c>
      <c r="E96" s="7">
        <v>0</v>
      </c>
      <c r="F96" s="4">
        <v>0</v>
      </c>
      <c r="G96" s="4"/>
      <c r="H96" s="4"/>
      <c r="I96" s="4"/>
      <c r="J96" s="4"/>
      <c r="K96" s="4"/>
      <c r="L96" s="4"/>
      <c r="M96" s="5">
        <f t="shared" si="25"/>
        <v>0</v>
      </c>
      <c r="N96" s="5">
        <f t="shared" si="26"/>
        <v>0</v>
      </c>
      <c r="O96" s="5">
        <f t="shared" si="27"/>
        <v>0</v>
      </c>
      <c r="P96" s="3">
        <f t="shared" si="28"/>
        <v>0</v>
      </c>
      <c r="Q96" s="6">
        <f t="shared" si="29"/>
        <v>0</v>
      </c>
    </row>
    <row r="97" spans="1:17" x14ac:dyDescent="0.4">
      <c r="A97" s="2">
        <v>46026</v>
      </c>
      <c r="B97" s="1" t="s">
        <v>7</v>
      </c>
      <c r="C97" s="1" t="s">
        <v>8</v>
      </c>
      <c r="D97" s="1" t="s">
        <v>42</v>
      </c>
      <c r="E97" s="7">
        <v>0</v>
      </c>
      <c r="F97" s="4">
        <v>0</v>
      </c>
      <c r="G97" s="3"/>
      <c r="H97" s="3"/>
      <c r="I97" s="3"/>
      <c r="J97" s="3"/>
      <c r="K97" s="3"/>
      <c r="L97" s="3"/>
      <c r="M97" s="5">
        <f t="shared" si="25"/>
        <v>0</v>
      </c>
      <c r="N97" s="5">
        <f t="shared" si="26"/>
        <v>0</v>
      </c>
      <c r="O97" s="5">
        <f t="shared" si="27"/>
        <v>0</v>
      </c>
      <c r="P97" s="3">
        <f t="shared" si="28"/>
        <v>0</v>
      </c>
      <c r="Q97" s="6">
        <f t="shared" si="29"/>
        <v>0</v>
      </c>
    </row>
    <row r="98" spans="1:17" x14ac:dyDescent="0.4">
      <c r="A98" s="2">
        <v>46027</v>
      </c>
      <c r="B98" s="1" t="s">
        <v>13</v>
      </c>
      <c r="C98" s="1" t="s">
        <v>14</v>
      </c>
      <c r="D98" s="1" t="s">
        <v>31</v>
      </c>
      <c r="E98" s="7">
        <v>1420261.0669693549</v>
      </c>
      <c r="F98" s="4">
        <v>3</v>
      </c>
      <c r="G98" s="4">
        <v>14</v>
      </c>
      <c r="H98" s="4">
        <v>8</v>
      </c>
      <c r="I98" s="4">
        <v>5</v>
      </c>
      <c r="J98" s="4">
        <v>125000</v>
      </c>
      <c r="K98" s="4"/>
      <c r="L98" s="4"/>
      <c r="M98" s="5">
        <f t="shared" si="25"/>
        <v>0.5714285714285714</v>
      </c>
      <c r="N98" s="5">
        <f t="shared" si="26"/>
        <v>4.666666666666667</v>
      </c>
      <c r="O98" s="5">
        <f t="shared" si="27"/>
        <v>0.625</v>
      </c>
      <c r="P98" s="3">
        <f t="shared" si="28"/>
        <v>101447.21906923964</v>
      </c>
      <c r="Q98" s="6">
        <f t="shared" si="29"/>
        <v>1.0561438561438548</v>
      </c>
    </row>
    <row r="99" spans="1:17" x14ac:dyDescent="0.4">
      <c r="A99" s="2">
        <v>46027</v>
      </c>
      <c r="B99" s="1" t="s">
        <v>11</v>
      </c>
      <c r="C99" s="1" t="s">
        <v>12</v>
      </c>
      <c r="D99" s="1" t="s">
        <v>32</v>
      </c>
      <c r="E99" s="7">
        <v>165413.53383458647</v>
      </c>
      <c r="F99" s="4">
        <v>4</v>
      </c>
      <c r="G99" s="4">
        <v>3</v>
      </c>
      <c r="H99" s="4">
        <v>3</v>
      </c>
      <c r="I99" s="4"/>
      <c r="J99" s="4"/>
      <c r="K99" s="4">
        <v>2</v>
      </c>
      <c r="L99" s="4">
        <v>40000</v>
      </c>
      <c r="M99" s="5">
        <f t="shared" si="25"/>
        <v>1</v>
      </c>
      <c r="N99" s="5">
        <f t="shared" si="26"/>
        <v>0.75</v>
      </c>
      <c r="O99" s="5">
        <f t="shared" si="27"/>
        <v>0</v>
      </c>
      <c r="P99" s="3">
        <f t="shared" si="28"/>
        <v>55137.844611528824</v>
      </c>
      <c r="Q99" s="6">
        <f t="shared" si="29"/>
        <v>0</v>
      </c>
    </row>
    <row r="100" spans="1:17" x14ac:dyDescent="0.4">
      <c r="A100" s="2">
        <v>46027</v>
      </c>
      <c r="B100" s="1" t="s">
        <v>17</v>
      </c>
      <c r="C100" s="1" t="s">
        <v>18</v>
      </c>
      <c r="D100" s="1" t="s">
        <v>53</v>
      </c>
      <c r="E100" s="7">
        <v>177419.35483870967</v>
      </c>
      <c r="F100" s="4">
        <v>4</v>
      </c>
      <c r="G100" s="4"/>
      <c r="H100" s="4"/>
      <c r="I100" s="4"/>
      <c r="J100" s="4"/>
      <c r="K100" s="4"/>
      <c r="L100" s="4"/>
      <c r="M100" s="5">
        <f t="shared" si="25"/>
        <v>0</v>
      </c>
      <c r="N100" s="5">
        <f t="shared" si="26"/>
        <v>0</v>
      </c>
      <c r="O100" s="5">
        <f t="shared" si="27"/>
        <v>0</v>
      </c>
      <c r="P100" s="3">
        <f t="shared" si="28"/>
        <v>0</v>
      </c>
      <c r="Q100" s="6">
        <f t="shared" si="29"/>
        <v>0</v>
      </c>
    </row>
    <row r="101" spans="1:17" x14ac:dyDescent="0.4">
      <c r="A101" s="2">
        <v>46027</v>
      </c>
      <c r="B101" s="1" t="s">
        <v>25</v>
      </c>
      <c r="C101" s="1" t="s">
        <v>35</v>
      </c>
      <c r="D101" s="1" t="s">
        <v>32</v>
      </c>
      <c r="E101" s="7">
        <v>0</v>
      </c>
      <c r="F101" s="4">
        <v>5</v>
      </c>
      <c r="G101" s="4">
        <v>1</v>
      </c>
      <c r="H101" s="4">
        <v>1</v>
      </c>
      <c r="I101" s="4">
        <v>1</v>
      </c>
      <c r="J101" s="4">
        <v>30000</v>
      </c>
      <c r="K101" s="4"/>
      <c r="L101" s="4"/>
      <c r="M101" s="5">
        <f t="shared" si="25"/>
        <v>1</v>
      </c>
      <c r="N101" s="5">
        <f t="shared" si="26"/>
        <v>0.2</v>
      </c>
      <c r="O101" s="5">
        <f t="shared" si="27"/>
        <v>1</v>
      </c>
      <c r="P101" s="3">
        <f t="shared" si="28"/>
        <v>0</v>
      </c>
      <c r="Q101" s="6">
        <f t="shared" si="29"/>
        <v>0</v>
      </c>
    </row>
    <row r="102" spans="1:17" x14ac:dyDescent="0.4">
      <c r="A102" s="2">
        <v>46027</v>
      </c>
      <c r="B102" s="1" t="s">
        <v>24</v>
      </c>
      <c r="C102" s="1" t="s">
        <v>6</v>
      </c>
      <c r="D102" s="1" t="s">
        <v>69</v>
      </c>
      <c r="E102" s="7">
        <v>138695</v>
      </c>
      <c r="F102" s="4">
        <v>4</v>
      </c>
      <c r="G102" s="4">
        <v>3</v>
      </c>
      <c r="H102" s="4">
        <v>3</v>
      </c>
      <c r="I102" s="4">
        <v>3</v>
      </c>
      <c r="J102" s="4">
        <v>60000</v>
      </c>
      <c r="K102" s="4" t="s">
        <v>68</v>
      </c>
      <c r="L102" s="4" t="s">
        <v>68</v>
      </c>
      <c r="M102" s="5">
        <f t="shared" si="25"/>
        <v>1</v>
      </c>
      <c r="N102" s="5">
        <f t="shared" si="26"/>
        <v>0.75</v>
      </c>
      <c r="O102" s="5">
        <f t="shared" si="27"/>
        <v>1</v>
      </c>
      <c r="P102" s="3">
        <f t="shared" si="28"/>
        <v>46231.666666666664</v>
      </c>
      <c r="Q102" s="6">
        <f t="shared" si="29"/>
        <v>5.1912469807851762</v>
      </c>
    </row>
    <row r="103" spans="1:17" x14ac:dyDescent="0.4">
      <c r="A103" s="2">
        <v>46027</v>
      </c>
      <c r="B103" s="1" t="s">
        <v>9</v>
      </c>
      <c r="C103" s="1" t="s">
        <v>6</v>
      </c>
      <c r="D103" s="1" t="s">
        <v>70</v>
      </c>
      <c r="E103" s="7">
        <v>312064</v>
      </c>
      <c r="F103" s="4">
        <v>9</v>
      </c>
      <c r="G103" s="4">
        <v>3</v>
      </c>
      <c r="H103" s="4">
        <v>2</v>
      </c>
      <c r="I103" s="4">
        <v>3</v>
      </c>
      <c r="J103" s="4">
        <v>65000</v>
      </c>
      <c r="K103" s="4" t="s">
        <v>68</v>
      </c>
      <c r="L103" s="4" t="s">
        <v>68</v>
      </c>
      <c r="M103" s="5">
        <f t="shared" si="25"/>
        <v>0.66666666666666663</v>
      </c>
      <c r="N103" s="5">
        <f t="shared" si="26"/>
        <v>0.33333333333333331</v>
      </c>
      <c r="O103" s="5">
        <f t="shared" si="27"/>
        <v>1.5</v>
      </c>
      <c r="P103" s="3">
        <f t="shared" si="28"/>
        <v>104021.33333333333</v>
      </c>
      <c r="Q103" s="6">
        <f t="shared" si="29"/>
        <v>2.4994872846595571</v>
      </c>
    </row>
    <row r="104" spans="1:17" x14ac:dyDescent="0.4">
      <c r="A104" s="2">
        <v>46027</v>
      </c>
      <c r="B104" s="1" t="s">
        <v>15</v>
      </c>
      <c r="C104" s="1" t="s">
        <v>6</v>
      </c>
      <c r="D104" s="1" t="s">
        <v>44</v>
      </c>
      <c r="E104" s="7">
        <v>277390</v>
      </c>
      <c r="F104" s="4">
        <v>8</v>
      </c>
      <c r="G104" s="4">
        <v>3</v>
      </c>
      <c r="H104" s="4">
        <v>2</v>
      </c>
      <c r="I104" s="4" t="s">
        <v>68</v>
      </c>
      <c r="J104" s="4" t="s">
        <v>68</v>
      </c>
      <c r="K104" s="4" t="s">
        <v>68</v>
      </c>
      <c r="L104" s="4" t="s">
        <v>68</v>
      </c>
      <c r="M104" s="5">
        <f t="shared" si="25"/>
        <v>0.66666666666666663</v>
      </c>
      <c r="N104" s="5">
        <f t="shared" si="26"/>
        <v>0.375</v>
      </c>
      <c r="O104" s="5">
        <f t="shared" si="27"/>
        <v>0</v>
      </c>
      <c r="P104" s="3">
        <f t="shared" si="28"/>
        <v>92463.333333333328</v>
      </c>
      <c r="Q104" s="6">
        <f t="shared" si="29"/>
        <v>0</v>
      </c>
    </row>
    <row r="105" spans="1:17" x14ac:dyDescent="0.4">
      <c r="A105" s="2">
        <v>46027</v>
      </c>
      <c r="B105" s="1" t="s">
        <v>10</v>
      </c>
      <c r="C105" s="1" t="s">
        <v>6</v>
      </c>
      <c r="D105" s="1" t="s">
        <v>33</v>
      </c>
      <c r="E105" s="7">
        <v>138695</v>
      </c>
      <c r="F105" s="4">
        <v>4</v>
      </c>
      <c r="G105" s="4">
        <v>3</v>
      </c>
      <c r="H105" s="4">
        <v>3</v>
      </c>
      <c r="I105" s="4">
        <v>2</v>
      </c>
      <c r="J105" s="4">
        <v>55000</v>
      </c>
      <c r="K105" s="4" t="s">
        <v>68</v>
      </c>
      <c r="L105" s="4" t="s">
        <v>68</v>
      </c>
      <c r="M105" s="5">
        <f t="shared" si="25"/>
        <v>1</v>
      </c>
      <c r="N105" s="5">
        <f t="shared" si="26"/>
        <v>0.75</v>
      </c>
      <c r="O105" s="5">
        <f t="shared" si="27"/>
        <v>0.66666666666666663</v>
      </c>
      <c r="P105" s="3">
        <f t="shared" si="28"/>
        <v>46231.666666666664</v>
      </c>
      <c r="Q105" s="6">
        <f t="shared" si="29"/>
        <v>4.7586430657197445</v>
      </c>
    </row>
    <row r="106" spans="1:17" x14ac:dyDescent="0.4">
      <c r="A106" s="2">
        <v>46027</v>
      </c>
      <c r="B106" s="1" t="s">
        <v>74</v>
      </c>
      <c r="C106" s="1" t="s">
        <v>6</v>
      </c>
      <c r="D106" s="1" t="s">
        <v>71</v>
      </c>
      <c r="E106" s="7">
        <v>138695</v>
      </c>
      <c r="F106" s="4">
        <v>4</v>
      </c>
      <c r="G106" s="4">
        <v>1</v>
      </c>
      <c r="H106" s="4">
        <v>1</v>
      </c>
      <c r="I106" s="4">
        <v>1</v>
      </c>
      <c r="J106" s="4">
        <v>20000</v>
      </c>
      <c r="K106" s="4" t="s">
        <v>68</v>
      </c>
      <c r="L106" s="4" t="s">
        <v>68</v>
      </c>
      <c r="M106" s="5">
        <f t="shared" si="25"/>
        <v>1</v>
      </c>
      <c r="N106" s="5">
        <f t="shared" si="26"/>
        <v>0.25</v>
      </c>
      <c r="O106" s="5">
        <f t="shared" si="27"/>
        <v>1</v>
      </c>
      <c r="P106" s="3">
        <f t="shared" si="28"/>
        <v>138695</v>
      </c>
      <c r="Q106" s="6">
        <f t="shared" si="29"/>
        <v>1.7304156602617253</v>
      </c>
    </row>
    <row r="107" spans="1:17" x14ac:dyDescent="0.4">
      <c r="A107" s="2">
        <v>46027</v>
      </c>
      <c r="B107" s="1" t="s">
        <v>75</v>
      </c>
      <c r="C107" s="1" t="s">
        <v>6</v>
      </c>
      <c r="D107" s="1" t="s">
        <v>72</v>
      </c>
      <c r="E107" s="7">
        <v>173369</v>
      </c>
      <c r="F107" s="4">
        <v>5</v>
      </c>
      <c r="G107" s="4">
        <v>2</v>
      </c>
      <c r="H107" s="4">
        <v>1</v>
      </c>
      <c r="I107" s="4">
        <v>1</v>
      </c>
      <c r="J107" s="4">
        <v>20000</v>
      </c>
      <c r="K107" s="4" t="s">
        <v>68</v>
      </c>
      <c r="L107" s="4" t="s">
        <v>68</v>
      </c>
      <c r="M107" s="5">
        <f t="shared" si="25"/>
        <v>0.5</v>
      </c>
      <c r="N107" s="5">
        <f t="shared" si="26"/>
        <v>0.4</v>
      </c>
      <c r="O107" s="5">
        <f t="shared" si="27"/>
        <v>1</v>
      </c>
      <c r="P107" s="3">
        <f t="shared" si="28"/>
        <v>86684.5</v>
      </c>
      <c r="Q107" s="6">
        <f t="shared" si="29"/>
        <v>1.3843305319866874</v>
      </c>
    </row>
    <row r="108" spans="1:17" x14ac:dyDescent="0.4">
      <c r="A108" s="2">
        <v>46027</v>
      </c>
      <c r="B108" s="1" t="s">
        <v>76</v>
      </c>
      <c r="C108" s="1" t="s">
        <v>6</v>
      </c>
      <c r="D108" s="1" t="s">
        <v>73</v>
      </c>
      <c r="E108" s="7">
        <v>138695</v>
      </c>
      <c r="F108" s="4">
        <v>4</v>
      </c>
      <c r="G108" s="4">
        <v>1</v>
      </c>
      <c r="H108" s="4">
        <v>1</v>
      </c>
      <c r="I108" s="4" t="s">
        <v>68</v>
      </c>
      <c r="J108" s="4" t="s">
        <v>68</v>
      </c>
      <c r="K108" s="4" t="s">
        <v>68</v>
      </c>
      <c r="L108" s="4" t="s">
        <v>68</v>
      </c>
      <c r="M108" s="5">
        <f t="shared" si="25"/>
        <v>1</v>
      </c>
      <c r="N108" s="5">
        <f t="shared" si="26"/>
        <v>0.25</v>
      </c>
      <c r="O108" s="5">
        <f t="shared" si="27"/>
        <v>0</v>
      </c>
      <c r="P108" s="3">
        <f t="shared" si="28"/>
        <v>138695</v>
      </c>
      <c r="Q108" s="6">
        <f t="shared" si="29"/>
        <v>0</v>
      </c>
    </row>
    <row r="109" spans="1:17" x14ac:dyDescent="0.4">
      <c r="A109" s="2">
        <v>46027</v>
      </c>
      <c r="B109" s="1" t="s">
        <v>5</v>
      </c>
      <c r="C109" s="1" t="s">
        <v>6</v>
      </c>
      <c r="D109" s="1" t="s">
        <v>52</v>
      </c>
      <c r="E109" s="7">
        <v>138695</v>
      </c>
      <c r="F109" s="4">
        <v>4</v>
      </c>
      <c r="G109" s="4">
        <v>1</v>
      </c>
      <c r="H109" s="4">
        <v>1</v>
      </c>
      <c r="I109" s="4" t="s">
        <v>68</v>
      </c>
      <c r="J109" s="4" t="s">
        <v>68</v>
      </c>
      <c r="K109" s="4">
        <v>1</v>
      </c>
      <c r="L109" s="4">
        <v>20000</v>
      </c>
      <c r="M109" s="5">
        <f t="shared" si="25"/>
        <v>1</v>
      </c>
      <c r="N109" s="5">
        <f t="shared" si="26"/>
        <v>0.25</v>
      </c>
      <c r="O109" s="5">
        <f t="shared" si="27"/>
        <v>0</v>
      </c>
      <c r="P109" s="3">
        <f t="shared" si="28"/>
        <v>138695</v>
      </c>
      <c r="Q109" s="6">
        <f t="shared" si="29"/>
        <v>0</v>
      </c>
    </row>
    <row r="110" spans="1:17" x14ac:dyDescent="0.4">
      <c r="A110" s="2">
        <v>46027</v>
      </c>
      <c r="B110" s="1" t="s">
        <v>26</v>
      </c>
      <c r="C110" s="1" t="s">
        <v>36</v>
      </c>
      <c r="D110" s="1" t="s">
        <v>52</v>
      </c>
      <c r="E110" s="7">
        <v>0</v>
      </c>
      <c r="F110" s="4">
        <v>1</v>
      </c>
      <c r="G110" s="4"/>
      <c r="H110" s="4"/>
      <c r="I110" s="4"/>
      <c r="J110" s="4"/>
      <c r="K110" s="4"/>
      <c r="L110" s="4"/>
      <c r="M110" s="5">
        <f t="shared" si="25"/>
        <v>0</v>
      </c>
      <c r="N110" s="5">
        <f t="shared" si="26"/>
        <v>0</v>
      </c>
      <c r="O110" s="5">
        <f t="shared" si="27"/>
        <v>0</v>
      </c>
      <c r="P110" s="3">
        <f t="shared" si="28"/>
        <v>0</v>
      </c>
      <c r="Q110" s="6">
        <f t="shared" si="29"/>
        <v>0</v>
      </c>
    </row>
    <row r="111" spans="1:17" x14ac:dyDescent="0.4">
      <c r="A111" s="2">
        <v>46027</v>
      </c>
      <c r="B111" s="1" t="s">
        <v>51</v>
      </c>
      <c r="C111" s="1" t="s">
        <v>50</v>
      </c>
      <c r="D111" s="1" t="s">
        <v>54</v>
      </c>
      <c r="E111" s="7">
        <v>428571.42857142858</v>
      </c>
      <c r="F111" s="4">
        <v>3</v>
      </c>
      <c r="G111" s="4">
        <v>4</v>
      </c>
      <c r="H111" s="4">
        <v>2</v>
      </c>
      <c r="I111" s="4">
        <v>2</v>
      </c>
      <c r="J111" s="4">
        <v>40000</v>
      </c>
      <c r="K111" s="4">
        <v>1</v>
      </c>
      <c r="L111" s="4">
        <v>20000</v>
      </c>
      <c r="M111" s="5">
        <f t="shared" si="25"/>
        <v>0.5</v>
      </c>
      <c r="N111" s="5">
        <f t="shared" si="26"/>
        <v>1.3333333333333333</v>
      </c>
      <c r="O111" s="5">
        <f t="shared" si="27"/>
        <v>1</v>
      </c>
      <c r="P111" s="3">
        <f t="shared" si="28"/>
        <v>107142.85714285714</v>
      </c>
      <c r="Q111" s="6">
        <f t="shared" si="29"/>
        <v>1.1199999999999999</v>
      </c>
    </row>
    <row r="112" spans="1:17" x14ac:dyDescent="0.4">
      <c r="A112" s="2">
        <v>46027</v>
      </c>
      <c r="B112" s="1" t="s">
        <v>56</v>
      </c>
      <c r="C112" s="1" t="s">
        <v>57</v>
      </c>
      <c r="D112" s="1" t="s">
        <v>59</v>
      </c>
      <c r="E112" s="7">
        <v>171111.11111111112</v>
      </c>
      <c r="F112" s="4">
        <v>5</v>
      </c>
      <c r="G112" s="4">
        <v>1</v>
      </c>
      <c r="H112" s="4">
        <v>1</v>
      </c>
      <c r="I112" s="4"/>
      <c r="J112" s="4"/>
      <c r="K112" s="4"/>
      <c r="L112" s="4"/>
      <c r="M112" s="5">
        <f t="shared" si="25"/>
        <v>1</v>
      </c>
      <c r="N112" s="5">
        <f t="shared" si="26"/>
        <v>0.2</v>
      </c>
      <c r="O112" s="5">
        <f t="shared" si="27"/>
        <v>0</v>
      </c>
      <c r="P112" s="3">
        <f t="shared" si="28"/>
        <v>171111.11111111112</v>
      </c>
      <c r="Q112" s="6">
        <f t="shared" si="29"/>
        <v>0</v>
      </c>
    </row>
    <row r="113" spans="1:17" x14ac:dyDescent="0.4">
      <c r="A113" s="2">
        <v>46027</v>
      </c>
      <c r="B113" s="1" t="s">
        <v>16</v>
      </c>
      <c r="C113" s="1" t="s">
        <v>58</v>
      </c>
      <c r="D113" s="1" t="s">
        <v>53</v>
      </c>
      <c r="E113" s="7">
        <v>206250.00000000003</v>
      </c>
      <c r="F113" s="4">
        <v>3</v>
      </c>
      <c r="G113" s="4">
        <v>1</v>
      </c>
      <c r="H113" s="4">
        <v>1</v>
      </c>
      <c r="I113" s="4"/>
      <c r="J113" s="4"/>
      <c r="K113" s="4"/>
      <c r="L113" s="4"/>
      <c r="M113" s="5">
        <f t="shared" si="25"/>
        <v>1</v>
      </c>
      <c r="N113" s="5">
        <f t="shared" si="26"/>
        <v>0.33333333333333331</v>
      </c>
      <c r="O113" s="5">
        <f t="shared" si="27"/>
        <v>0</v>
      </c>
      <c r="P113" s="3">
        <f t="shared" si="28"/>
        <v>206250.00000000003</v>
      </c>
      <c r="Q113" s="6">
        <f t="shared" si="29"/>
        <v>0</v>
      </c>
    </row>
    <row r="114" spans="1:17" x14ac:dyDescent="0.4">
      <c r="A114" s="2">
        <v>46027</v>
      </c>
      <c r="B114" s="1" t="s">
        <v>19</v>
      </c>
      <c r="C114" s="1" t="s">
        <v>20</v>
      </c>
      <c r="D114" s="1" t="s">
        <v>34</v>
      </c>
      <c r="E114" s="7">
        <v>202836.87943262412</v>
      </c>
      <c r="F114" s="4">
        <v>4</v>
      </c>
      <c r="G114" s="4">
        <v>5</v>
      </c>
      <c r="H114" s="4">
        <v>3</v>
      </c>
      <c r="I114" s="4">
        <v>1</v>
      </c>
      <c r="J114" s="4">
        <v>20000</v>
      </c>
      <c r="K114" s="4"/>
      <c r="L114" s="4"/>
      <c r="M114" s="5">
        <f t="shared" si="25"/>
        <v>0.6</v>
      </c>
      <c r="N114" s="5">
        <f t="shared" si="26"/>
        <v>1.25</v>
      </c>
      <c r="O114" s="5">
        <f t="shared" si="27"/>
        <v>0.33333333333333331</v>
      </c>
      <c r="P114" s="3">
        <f t="shared" si="28"/>
        <v>40567.375886524824</v>
      </c>
      <c r="Q114" s="6">
        <f t="shared" si="29"/>
        <v>1.1832167832167833</v>
      </c>
    </row>
    <row r="115" spans="1:17" x14ac:dyDescent="0.4">
      <c r="A115" s="2">
        <v>46027</v>
      </c>
      <c r="B115" s="1" t="s">
        <v>23</v>
      </c>
      <c r="C115" s="1" t="s">
        <v>37</v>
      </c>
      <c r="D115" s="1" t="s">
        <v>32</v>
      </c>
      <c r="E115" s="7">
        <v>0</v>
      </c>
      <c r="F115" s="4">
        <v>6</v>
      </c>
      <c r="G115" s="4"/>
      <c r="H115" s="4"/>
      <c r="I115" s="4"/>
      <c r="J115" s="4"/>
      <c r="K115" s="4"/>
      <c r="L115" s="4"/>
      <c r="M115" s="5">
        <f t="shared" si="25"/>
        <v>0</v>
      </c>
      <c r="N115" s="5">
        <f t="shared" si="26"/>
        <v>0</v>
      </c>
      <c r="O115" s="5">
        <f t="shared" si="27"/>
        <v>0</v>
      </c>
      <c r="P115" s="3">
        <f t="shared" si="28"/>
        <v>0</v>
      </c>
      <c r="Q115" s="6">
        <f t="shared" si="29"/>
        <v>0</v>
      </c>
    </row>
    <row r="116" spans="1:17" x14ac:dyDescent="0.4">
      <c r="A116" s="2">
        <v>46027</v>
      </c>
      <c r="B116" s="1" t="s">
        <v>21</v>
      </c>
      <c r="C116" s="1" t="s">
        <v>22</v>
      </c>
      <c r="D116" s="1" t="s">
        <v>32</v>
      </c>
      <c r="E116" s="7">
        <v>283870.96774193551</v>
      </c>
      <c r="F116" s="4">
        <v>9</v>
      </c>
      <c r="G116" s="4">
        <v>1</v>
      </c>
      <c r="H116" s="4"/>
      <c r="I116" s="4"/>
      <c r="J116" s="4"/>
      <c r="K116" s="4">
        <v>1</v>
      </c>
      <c r="L116" s="4">
        <v>20000</v>
      </c>
      <c r="M116" s="5">
        <f t="shared" si="25"/>
        <v>0</v>
      </c>
      <c r="N116" s="5">
        <f t="shared" si="26"/>
        <v>0.1111111111111111</v>
      </c>
      <c r="O116" s="5">
        <f t="shared" si="27"/>
        <v>0</v>
      </c>
      <c r="P116" s="3">
        <f t="shared" si="28"/>
        <v>283870.96774193551</v>
      </c>
      <c r="Q116" s="6">
        <f t="shared" si="29"/>
        <v>0</v>
      </c>
    </row>
    <row r="117" spans="1:17" x14ac:dyDescent="0.4">
      <c r="A117" s="2">
        <v>46027</v>
      </c>
      <c r="B117" s="1" t="s">
        <v>60</v>
      </c>
      <c r="C117" s="1" t="s">
        <v>63</v>
      </c>
      <c r="D117" s="1" t="s">
        <v>53</v>
      </c>
      <c r="E117" s="7">
        <v>225409.83606557379</v>
      </c>
      <c r="F117" s="4">
        <v>4</v>
      </c>
      <c r="G117" s="4"/>
      <c r="H117" s="4"/>
      <c r="I117" s="4"/>
      <c r="J117" s="4"/>
      <c r="K117" s="4"/>
      <c r="L117" s="4"/>
      <c r="M117" s="5">
        <f t="shared" si="25"/>
        <v>0</v>
      </c>
      <c r="N117" s="5">
        <f t="shared" si="26"/>
        <v>0</v>
      </c>
      <c r="O117" s="5">
        <f t="shared" si="27"/>
        <v>0</v>
      </c>
      <c r="P117" s="3">
        <f t="shared" si="28"/>
        <v>0</v>
      </c>
      <c r="Q117" s="6">
        <f t="shared" si="29"/>
        <v>0</v>
      </c>
    </row>
    <row r="118" spans="1:17" x14ac:dyDescent="0.4">
      <c r="A118" s="2">
        <v>46027</v>
      </c>
      <c r="B118" s="1" t="s">
        <v>61</v>
      </c>
      <c r="C118" s="1" t="s">
        <v>64</v>
      </c>
      <c r="D118" s="1" t="s">
        <v>66</v>
      </c>
      <c r="E118" s="7">
        <v>0</v>
      </c>
      <c r="F118" s="4">
        <v>10</v>
      </c>
      <c r="G118" s="4">
        <v>3</v>
      </c>
      <c r="H118" s="4"/>
      <c r="I118" s="4">
        <v>1</v>
      </c>
      <c r="J118" s="4">
        <v>25000</v>
      </c>
      <c r="K118" s="4"/>
      <c r="L118" s="4"/>
      <c r="M118" s="5">
        <f t="shared" si="25"/>
        <v>0</v>
      </c>
      <c r="N118" s="5">
        <f t="shared" si="26"/>
        <v>0.3</v>
      </c>
      <c r="O118" s="5">
        <f t="shared" si="27"/>
        <v>0</v>
      </c>
      <c r="P118" s="3">
        <f t="shared" si="28"/>
        <v>0</v>
      </c>
      <c r="Q118" s="6">
        <f t="shared" si="29"/>
        <v>0</v>
      </c>
    </row>
    <row r="119" spans="1:17" x14ac:dyDescent="0.4">
      <c r="A119" s="2">
        <v>46027</v>
      </c>
      <c r="B119" s="1" t="s">
        <v>62</v>
      </c>
      <c r="C119" s="1" t="s">
        <v>65</v>
      </c>
      <c r="D119" s="1" t="s">
        <v>67</v>
      </c>
      <c r="E119" s="7">
        <v>528846.15384615399</v>
      </c>
      <c r="F119" s="4">
        <v>4</v>
      </c>
      <c r="G119" s="4"/>
      <c r="H119" s="4"/>
      <c r="I119" s="4"/>
      <c r="J119" s="4"/>
      <c r="K119" s="4"/>
      <c r="L119" s="4"/>
      <c r="M119" s="5">
        <f t="shared" si="25"/>
        <v>0</v>
      </c>
      <c r="N119" s="5">
        <f t="shared" si="26"/>
        <v>0</v>
      </c>
      <c r="O119" s="5">
        <f t="shared" si="27"/>
        <v>0</v>
      </c>
      <c r="P119" s="3">
        <f t="shared" si="28"/>
        <v>0</v>
      </c>
      <c r="Q119" s="6">
        <f t="shared" si="29"/>
        <v>0</v>
      </c>
    </row>
    <row r="120" spans="1:17" x14ac:dyDescent="0.4">
      <c r="A120" s="2">
        <v>46027</v>
      </c>
      <c r="B120" s="1" t="s">
        <v>42</v>
      </c>
      <c r="C120" s="1" t="s">
        <v>38</v>
      </c>
      <c r="D120" s="1" t="s">
        <v>42</v>
      </c>
      <c r="E120" s="7">
        <v>0</v>
      </c>
      <c r="F120" s="4">
        <v>0</v>
      </c>
      <c r="G120" s="4"/>
      <c r="H120" s="4"/>
      <c r="I120" s="4"/>
      <c r="J120" s="4"/>
      <c r="K120" s="4"/>
      <c r="L120" s="4"/>
      <c r="M120" s="5">
        <f t="shared" si="25"/>
        <v>0</v>
      </c>
      <c r="N120" s="5">
        <f t="shared" si="26"/>
        <v>0</v>
      </c>
      <c r="O120" s="5">
        <f t="shared" si="27"/>
        <v>0</v>
      </c>
      <c r="P120" s="3">
        <f t="shared" si="28"/>
        <v>0</v>
      </c>
      <c r="Q120" s="6">
        <f t="shared" si="29"/>
        <v>0</v>
      </c>
    </row>
    <row r="121" spans="1:17" x14ac:dyDescent="0.4">
      <c r="A121" s="2">
        <v>46027</v>
      </c>
      <c r="B121" s="1" t="s">
        <v>7</v>
      </c>
      <c r="C121" s="1" t="s">
        <v>8</v>
      </c>
      <c r="D121" s="1" t="s">
        <v>42</v>
      </c>
      <c r="E121" s="7">
        <v>0</v>
      </c>
      <c r="F121" s="4">
        <v>0</v>
      </c>
      <c r="G121" s="3">
        <v>7</v>
      </c>
      <c r="H121" s="3">
        <v>5</v>
      </c>
      <c r="I121" s="3"/>
      <c r="J121" s="3"/>
      <c r="K121" s="3"/>
      <c r="L121" s="3"/>
      <c r="M121" s="5">
        <f t="shared" si="25"/>
        <v>0.7142857142857143</v>
      </c>
      <c r="N121" s="5">
        <f t="shared" si="26"/>
        <v>0</v>
      </c>
      <c r="O121" s="5">
        <f t="shared" si="27"/>
        <v>0</v>
      </c>
      <c r="P121" s="3">
        <f t="shared" si="28"/>
        <v>0</v>
      </c>
      <c r="Q121" s="6">
        <f t="shared" si="29"/>
        <v>0</v>
      </c>
    </row>
    <row r="122" spans="1:17" x14ac:dyDescent="0.4">
      <c r="A122" s="2">
        <v>46028</v>
      </c>
      <c r="B122" s="1" t="s">
        <v>13</v>
      </c>
      <c r="C122" s="1" t="s">
        <v>14</v>
      </c>
      <c r="D122" s="1" t="s">
        <v>31</v>
      </c>
      <c r="E122" s="7">
        <v>1005107.832009082</v>
      </c>
      <c r="F122" s="4">
        <v>3</v>
      </c>
      <c r="G122" s="4">
        <v>11</v>
      </c>
      <c r="H122" s="4">
        <v>7</v>
      </c>
      <c r="I122" s="4">
        <v>5</v>
      </c>
      <c r="J122" s="4">
        <v>110000</v>
      </c>
      <c r="K122" s="4">
        <v>1</v>
      </c>
      <c r="L122" s="4">
        <v>20000</v>
      </c>
      <c r="M122" s="5">
        <f t="shared" si="25"/>
        <v>0.63636363636363635</v>
      </c>
      <c r="N122" s="5">
        <f t="shared" si="26"/>
        <v>3.6666666666666665</v>
      </c>
      <c r="O122" s="5">
        <f t="shared" si="27"/>
        <v>0.7142857142857143</v>
      </c>
      <c r="P122" s="3">
        <f t="shared" si="28"/>
        <v>91373.439273552911</v>
      </c>
      <c r="Q122" s="6">
        <f t="shared" si="29"/>
        <v>1.3132919254658366</v>
      </c>
    </row>
    <row r="123" spans="1:17" x14ac:dyDescent="0.4">
      <c r="A123" s="2">
        <v>46028</v>
      </c>
      <c r="B123" s="1" t="s">
        <v>11</v>
      </c>
      <c r="C123" s="1" t="s">
        <v>12</v>
      </c>
      <c r="D123" s="1" t="s">
        <v>32</v>
      </c>
      <c r="E123" s="7">
        <v>248120.30075187972</v>
      </c>
      <c r="F123" s="4">
        <v>6</v>
      </c>
      <c r="G123" s="4">
        <v>4</v>
      </c>
      <c r="H123" s="4">
        <v>1</v>
      </c>
      <c r="I123" s="4"/>
      <c r="J123" s="4"/>
      <c r="K123" s="4">
        <v>1</v>
      </c>
      <c r="L123" s="4">
        <v>20000</v>
      </c>
      <c r="M123" s="5">
        <f t="shared" si="25"/>
        <v>0.25</v>
      </c>
      <c r="N123" s="5">
        <f t="shared" si="26"/>
        <v>0.66666666666666663</v>
      </c>
      <c r="O123" s="5">
        <f t="shared" si="27"/>
        <v>0</v>
      </c>
      <c r="P123" s="3">
        <f t="shared" si="28"/>
        <v>62030.075187969931</v>
      </c>
      <c r="Q123" s="6">
        <f t="shared" si="29"/>
        <v>0</v>
      </c>
    </row>
    <row r="124" spans="1:17" x14ac:dyDescent="0.4">
      <c r="A124" s="2">
        <v>46028</v>
      </c>
      <c r="B124" s="1" t="s">
        <v>17</v>
      </c>
      <c r="C124" s="1" t="s">
        <v>18</v>
      </c>
      <c r="D124" s="1" t="s">
        <v>53</v>
      </c>
      <c r="E124" s="7">
        <v>177419.35483870967</v>
      </c>
      <c r="F124" s="4">
        <v>4</v>
      </c>
      <c r="G124" s="4">
        <v>1</v>
      </c>
      <c r="H124" s="4">
        <v>1</v>
      </c>
      <c r="I124" s="4">
        <v>1</v>
      </c>
      <c r="J124" s="4">
        <v>10000</v>
      </c>
      <c r="K124" s="4"/>
      <c r="L124" s="4"/>
      <c r="M124" s="5">
        <f t="shared" si="25"/>
        <v>1</v>
      </c>
      <c r="N124" s="5">
        <f t="shared" si="26"/>
        <v>0.25</v>
      </c>
      <c r="O124" s="5">
        <f t="shared" si="27"/>
        <v>1</v>
      </c>
      <c r="P124" s="3">
        <f t="shared" si="28"/>
        <v>177419.35483870967</v>
      </c>
      <c r="Q124" s="6">
        <f t="shared" si="29"/>
        <v>0.67636363636363639</v>
      </c>
    </row>
    <row r="125" spans="1:17" x14ac:dyDescent="0.4">
      <c r="A125" s="2">
        <v>46028</v>
      </c>
      <c r="B125" s="1" t="s">
        <v>25</v>
      </c>
      <c r="C125" s="1" t="s">
        <v>35</v>
      </c>
      <c r="D125" s="1" t="s">
        <v>32</v>
      </c>
      <c r="E125" s="7">
        <v>0</v>
      </c>
      <c r="F125" s="4">
        <v>5</v>
      </c>
      <c r="G125" s="4"/>
      <c r="H125" s="4"/>
      <c r="I125" s="4"/>
      <c r="J125" s="4"/>
      <c r="K125" s="4"/>
      <c r="L125" s="4"/>
      <c r="M125" s="5">
        <f t="shared" si="25"/>
        <v>0</v>
      </c>
      <c r="N125" s="5">
        <f t="shared" si="26"/>
        <v>0</v>
      </c>
      <c r="O125" s="5">
        <f t="shared" si="27"/>
        <v>0</v>
      </c>
      <c r="P125" s="3">
        <f t="shared" si="28"/>
        <v>0</v>
      </c>
      <c r="Q125" s="6">
        <f t="shared" si="29"/>
        <v>0</v>
      </c>
    </row>
    <row r="126" spans="1:17" x14ac:dyDescent="0.4">
      <c r="A126" s="2">
        <v>46028</v>
      </c>
      <c r="B126" s="1" t="s">
        <v>24</v>
      </c>
      <c r="C126" s="1" t="s">
        <v>6</v>
      </c>
      <c r="D126" s="1" t="s">
        <v>69</v>
      </c>
      <c r="E126" s="7">
        <v>189520</v>
      </c>
      <c r="F126" s="4">
        <v>5</v>
      </c>
      <c r="G126" s="4">
        <v>1</v>
      </c>
      <c r="H126" s="4">
        <v>1</v>
      </c>
      <c r="I126" s="4" t="s">
        <v>68</v>
      </c>
      <c r="J126" s="4" t="s">
        <v>68</v>
      </c>
      <c r="K126" s="4" t="s">
        <v>68</v>
      </c>
      <c r="L126" s="4" t="s">
        <v>68</v>
      </c>
      <c r="M126" s="5">
        <f t="shared" si="25"/>
        <v>1</v>
      </c>
      <c r="N126" s="5">
        <f t="shared" si="26"/>
        <v>0.2</v>
      </c>
      <c r="O126" s="5">
        <f t="shared" si="27"/>
        <v>0</v>
      </c>
      <c r="P126" s="3">
        <f t="shared" si="28"/>
        <v>189520</v>
      </c>
      <c r="Q126" s="6">
        <f t="shared" si="29"/>
        <v>0</v>
      </c>
    </row>
    <row r="127" spans="1:17" x14ac:dyDescent="0.4">
      <c r="A127" s="2">
        <v>46028</v>
      </c>
      <c r="B127" s="1" t="s">
        <v>9</v>
      </c>
      <c r="C127" s="1" t="s">
        <v>6</v>
      </c>
      <c r="D127" s="1" t="s">
        <v>70</v>
      </c>
      <c r="E127" s="7">
        <v>303233</v>
      </c>
      <c r="F127" s="4">
        <v>8</v>
      </c>
      <c r="G127" s="4">
        <v>4</v>
      </c>
      <c r="H127" s="4">
        <v>4</v>
      </c>
      <c r="I127" s="4">
        <v>2</v>
      </c>
      <c r="J127" s="4">
        <v>50000</v>
      </c>
      <c r="K127" s="4">
        <v>1</v>
      </c>
      <c r="L127" s="4">
        <v>200000</v>
      </c>
      <c r="M127" s="5">
        <f t="shared" si="25"/>
        <v>1</v>
      </c>
      <c r="N127" s="5">
        <f t="shared" si="26"/>
        <v>0.5</v>
      </c>
      <c r="O127" s="5">
        <f t="shared" si="27"/>
        <v>0.5</v>
      </c>
      <c r="P127" s="3">
        <f t="shared" si="28"/>
        <v>75808.25</v>
      </c>
      <c r="Q127" s="6">
        <f t="shared" si="29"/>
        <v>1.9786764633136895</v>
      </c>
    </row>
    <row r="128" spans="1:17" x14ac:dyDescent="0.4">
      <c r="A128" s="2">
        <v>46028</v>
      </c>
      <c r="B128" s="1" t="s">
        <v>15</v>
      </c>
      <c r="C128" s="1" t="s">
        <v>6</v>
      </c>
      <c r="D128" s="1" t="s">
        <v>44</v>
      </c>
      <c r="E128" s="7">
        <v>341137</v>
      </c>
      <c r="F128" s="4">
        <v>9</v>
      </c>
      <c r="G128" s="4">
        <v>4</v>
      </c>
      <c r="H128" s="4">
        <v>4</v>
      </c>
      <c r="I128" s="4">
        <v>3</v>
      </c>
      <c r="J128" s="4">
        <v>55000</v>
      </c>
      <c r="K128" s="4" t="s">
        <v>68</v>
      </c>
      <c r="L128" s="4" t="s">
        <v>68</v>
      </c>
      <c r="M128" s="5">
        <f t="shared" si="25"/>
        <v>1</v>
      </c>
      <c r="N128" s="5">
        <f t="shared" si="26"/>
        <v>0.44444444444444442</v>
      </c>
      <c r="O128" s="5">
        <f t="shared" si="27"/>
        <v>0.75</v>
      </c>
      <c r="P128" s="3">
        <f t="shared" si="28"/>
        <v>85284.25</v>
      </c>
      <c r="Q128" s="6">
        <f t="shared" si="29"/>
        <v>1.9347065841582707</v>
      </c>
    </row>
    <row r="129" spans="1:17" x14ac:dyDescent="0.4">
      <c r="A129" s="2">
        <v>46028</v>
      </c>
      <c r="B129" s="1" t="s">
        <v>10</v>
      </c>
      <c r="C129" s="1" t="s">
        <v>6</v>
      </c>
      <c r="D129" s="1" t="s">
        <v>33</v>
      </c>
      <c r="E129" s="7">
        <v>189520</v>
      </c>
      <c r="F129" s="4">
        <v>5</v>
      </c>
      <c r="G129" s="4">
        <v>1</v>
      </c>
      <c r="H129" s="4">
        <v>1</v>
      </c>
      <c r="I129" s="4" t="s">
        <v>68</v>
      </c>
      <c r="J129" s="4" t="s">
        <v>68</v>
      </c>
      <c r="K129" s="4" t="s">
        <v>68</v>
      </c>
      <c r="L129" s="4" t="s">
        <v>68</v>
      </c>
      <c r="M129" s="5">
        <f t="shared" si="25"/>
        <v>1</v>
      </c>
      <c r="N129" s="5">
        <f t="shared" si="26"/>
        <v>0.2</v>
      </c>
      <c r="O129" s="5">
        <f t="shared" si="27"/>
        <v>0</v>
      </c>
      <c r="P129" s="3">
        <f t="shared" si="28"/>
        <v>189520</v>
      </c>
      <c r="Q129" s="6">
        <f t="shared" si="29"/>
        <v>0</v>
      </c>
    </row>
    <row r="130" spans="1:17" x14ac:dyDescent="0.4">
      <c r="A130" s="2">
        <v>46028</v>
      </c>
      <c r="B130" s="1" t="s">
        <v>74</v>
      </c>
      <c r="C130" s="1" t="s">
        <v>6</v>
      </c>
      <c r="D130" s="1" t="s">
        <v>71</v>
      </c>
      <c r="E130" s="7">
        <v>189520</v>
      </c>
      <c r="F130" s="4">
        <v>5</v>
      </c>
      <c r="G130" s="4">
        <v>2</v>
      </c>
      <c r="H130" s="4">
        <v>2</v>
      </c>
      <c r="I130" s="4">
        <v>1</v>
      </c>
      <c r="J130" s="4">
        <v>20000</v>
      </c>
      <c r="K130" s="4" t="s">
        <v>68</v>
      </c>
      <c r="L130" s="4" t="s">
        <v>68</v>
      </c>
      <c r="M130" s="5">
        <f t="shared" si="25"/>
        <v>1</v>
      </c>
      <c r="N130" s="5">
        <f t="shared" si="26"/>
        <v>0.4</v>
      </c>
      <c r="O130" s="5">
        <f t="shared" si="27"/>
        <v>0.5</v>
      </c>
      <c r="P130" s="3">
        <f t="shared" si="28"/>
        <v>94760</v>
      </c>
      <c r="Q130" s="6">
        <f t="shared" si="29"/>
        <v>1.2663571127057831</v>
      </c>
    </row>
    <row r="131" spans="1:17" x14ac:dyDescent="0.4">
      <c r="A131" s="2">
        <v>46028</v>
      </c>
      <c r="B131" s="1" t="s">
        <v>75</v>
      </c>
      <c r="C131" s="1" t="s">
        <v>6</v>
      </c>
      <c r="D131" s="1" t="s">
        <v>72</v>
      </c>
      <c r="E131" s="7">
        <v>189520</v>
      </c>
      <c r="F131" s="4">
        <v>5</v>
      </c>
      <c r="G131" s="4">
        <v>3</v>
      </c>
      <c r="H131" s="4">
        <v>1</v>
      </c>
      <c r="I131" s="4" t="s">
        <v>68</v>
      </c>
      <c r="J131" s="4" t="s">
        <v>68</v>
      </c>
      <c r="K131" s="4" t="s">
        <v>68</v>
      </c>
      <c r="L131" s="4" t="s">
        <v>68</v>
      </c>
      <c r="M131" s="5">
        <f t="shared" si="25"/>
        <v>0.33333333333333331</v>
      </c>
      <c r="N131" s="5">
        <f t="shared" si="26"/>
        <v>0.6</v>
      </c>
      <c r="O131" s="5">
        <f t="shared" si="27"/>
        <v>0</v>
      </c>
      <c r="P131" s="3">
        <f t="shared" si="28"/>
        <v>63173.333333333336</v>
      </c>
      <c r="Q131" s="6">
        <f t="shared" si="29"/>
        <v>0</v>
      </c>
    </row>
    <row r="132" spans="1:17" x14ac:dyDescent="0.4">
      <c r="A132" s="2">
        <v>46028</v>
      </c>
      <c r="B132" s="1" t="s">
        <v>76</v>
      </c>
      <c r="C132" s="1" t="s">
        <v>6</v>
      </c>
      <c r="D132" s="1" t="s">
        <v>73</v>
      </c>
      <c r="E132" s="7">
        <v>189520</v>
      </c>
      <c r="F132" s="4">
        <v>5</v>
      </c>
      <c r="G132" s="4" t="s">
        <v>68</v>
      </c>
      <c r="H132" s="4" t="s">
        <v>68</v>
      </c>
      <c r="I132" s="4" t="s">
        <v>68</v>
      </c>
      <c r="J132" s="4" t="s">
        <v>68</v>
      </c>
      <c r="K132" s="4" t="s">
        <v>68</v>
      </c>
      <c r="L132" s="4" t="s">
        <v>68</v>
      </c>
      <c r="M132" s="5">
        <f t="shared" si="25"/>
        <v>0</v>
      </c>
      <c r="N132" s="5">
        <f t="shared" si="26"/>
        <v>0</v>
      </c>
      <c r="O132" s="5">
        <f t="shared" si="27"/>
        <v>0</v>
      </c>
      <c r="P132" s="3">
        <f t="shared" si="28"/>
        <v>0</v>
      </c>
      <c r="Q132" s="6">
        <f t="shared" si="29"/>
        <v>0</v>
      </c>
    </row>
    <row r="133" spans="1:17" x14ac:dyDescent="0.4">
      <c r="A133" s="2">
        <v>46028</v>
      </c>
      <c r="B133" s="1" t="s">
        <v>5</v>
      </c>
      <c r="C133" s="1" t="s">
        <v>6</v>
      </c>
      <c r="D133" s="1" t="s">
        <v>52</v>
      </c>
      <c r="E133" s="7">
        <v>189520</v>
      </c>
      <c r="F133" s="4">
        <v>5</v>
      </c>
      <c r="G133" s="4" t="s">
        <v>68</v>
      </c>
      <c r="H133" s="4" t="s">
        <v>68</v>
      </c>
      <c r="I133" s="4" t="s">
        <v>68</v>
      </c>
      <c r="J133" s="4" t="s">
        <v>68</v>
      </c>
      <c r="K133" s="4" t="s">
        <v>68</v>
      </c>
      <c r="L133" s="4" t="s">
        <v>68</v>
      </c>
      <c r="M133" s="5">
        <f t="shared" si="25"/>
        <v>0</v>
      </c>
      <c r="N133" s="5">
        <f t="shared" si="26"/>
        <v>0</v>
      </c>
      <c r="O133" s="5">
        <f t="shared" si="27"/>
        <v>0</v>
      </c>
      <c r="P133" s="3">
        <f t="shared" si="28"/>
        <v>0</v>
      </c>
      <c r="Q133" s="6">
        <f t="shared" si="29"/>
        <v>0</v>
      </c>
    </row>
    <row r="134" spans="1:17" x14ac:dyDescent="0.4">
      <c r="A134" s="2">
        <v>46028</v>
      </c>
      <c r="B134" s="1" t="s">
        <v>26</v>
      </c>
      <c r="C134" s="1" t="s">
        <v>36</v>
      </c>
      <c r="D134" s="1" t="s">
        <v>52</v>
      </c>
      <c r="E134" s="7">
        <v>0</v>
      </c>
      <c r="F134" s="4">
        <v>1</v>
      </c>
      <c r="G134" s="4">
        <v>1</v>
      </c>
      <c r="H134" s="4">
        <v>1</v>
      </c>
      <c r="I134" s="4"/>
      <c r="J134" s="4"/>
      <c r="K134" s="4"/>
      <c r="L134" s="4"/>
      <c r="M134" s="5">
        <f t="shared" si="25"/>
        <v>1</v>
      </c>
      <c r="N134" s="5">
        <f t="shared" si="26"/>
        <v>1</v>
      </c>
      <c r="O134" s="5">
        <f t="shared" si="27"/>
        <v>0</v>
      </c>
      <c r="P134" s="3">
        <f t="shared" si="28"/>
        <v>0</v>
      </c>
      <c r="Q134" s="6">
        <f t="shared" si="29"/>
        <v>0</v>
      </c>
    </row>
    <row r="135" spans="1:17" x14ac:dyDescent="0.4">
      <c r="A135" s="2">
        <v>46028</v>
      </c>
      <c r="B135" s="1" t="s">
        <v>51</v>
      </c>
      <c r="C135" s="1" t="s">
        <v>50</v>
      </c>
      <c r="D135" s="1" t="s">
        <v>54</v>
      </c>
      <c r="E135" s="7">
        <v>428571.42857142858</v>
      </c>
      <c r="F135" s="4">
        <v>3</v>
      </c>
      <c r="G135" s="4">
        <v>4</v>
      </c>
      <c r="H135" s="4">
        <v>4</v>
      </c>
      <c r="I135" s="4">
        <v>1</v>
      </c>
      <c r="J135" s="4">
        <v>20000</v>
      </c>
      <c r="K135" s="4">
        <v>2</v>
      </c>
      <c r="L135" s="4">
        <v>40000</v>
      </c>
      <c r="M135" s="5">
        <f t="shared" si="25"/>
        <v>1</v>
      </c>
      <c r="N135" s="5">
        <f t="shared" si="26"/>
        <v>1.3333333333333333</v>
      </c>
      <c r="O135" s="5">
        <f t="shared" si="27"/>
        <v>0.25</v>
      </c>
      <c r="P135" s="3">
        <f t="shared" si="28"/>
        <v>107142.85714285714</v>
      </c>
      <c r="Q135" s="6">
        <f t="shared" si="29"/>
        <v>0.55999999999999994</v>
      </c>
    </row>
    <row r="136" spans="1:17" x14ac:dyDescent="0.4">
      <c r="A136" s="2">
        <v>46028</v>
      </c>
      <c r="B136" s="1" t="s">
        <v>56</v>
      </c>
      <c r="C136" s="1" t="s">
        <v>57</v>
      </c>
      <c r="D136" s="1" t="s">
        <v>59</v>
      </c>
      <c r="E136" s="7">
        <v>171111.11111111112</v>
      </c>
      <c r="F136" s="4">
        <v>5</v>
      </c>
      <c r="G136" s="4"/>
      <c r="H136" s="4"/>
      <c r="I136" s="4"/>
      <c r="J136" s="4"/>
      <c r="K136" s="4"/>
      <c r="L136" s="4"/>
      <c r="M136" s="5">
        <f t="shared" si="25"/>
        <v>0</v>
      </c>
      <c r="N136" s="5">
        <f t="shared" si="26"/>
        <v>0</v>
      </c>
      <c r="O136" s="5">
        <f t="shared" si="27"/>
        <v>0</v>
      </c>
      <c r="P136" s="3">
        <f t="shared" si="28"/>
        <v>0</v>
      </c>
      <c r="Q136" s="6">
        <f t="shared" si="29"/>
        <v>0</v>
      </c>
    </row>
    <row r="137" spans="1:17" x14ac:dyDescent="0.4">
      <c r="A137" s="2">
        <v>46028</v>
      </c>
      <c r="B137" s="1" t="s">
        <v>16</v>
      </c>
      <c r="C137" s="1" t="s">
        <v>58</v>
      </c>
      <c r="D137" s="1" t="s">
        <v>53</v>
      </c>
      <c r="E137" s="7">
        <v>206250.00000000003</v>
      </c>
      <c r="F137" s="4">
        <v>3</v>
      </c>
      <c r="G137" s="4">
        <v>1</v>
      </c>
      <c r="H137" s="4"/>
      <c r="I137" s="4"/>
      <c r="J137" s="4"/>
      <c r="K137" s="4"/>
      <c r="L137" s="4"/>
      <c r="M137" s="5">
        <f t="shared" si="25"/>
        <v>0</v>
      </c>
      <c r="N137" s="5">
        <f t="shared" si="26"/>
        <v>0.33333333333333331</v>
      </c>
      <c r="O137" s="5">
        <f t="shared" si="27"/>
        <v>0</v>
      </c>
      <c r="P137" s="3">
        <f t="shared" si="28"/>
        <v>206250.00000000003</v>
      </c>
      <c r="Q137" s="6">
        <f t="shared" si="29"/>
        <v>0</v>
      </c>
    </row>
    <row r="138" spans="1:17" x14ac:dyDescent="0.4">
      <c r="A138" s="2">
        <v>46028</v>
      </c>
      <c r="B138" s="1" t="s">
        <v>19</v>
      </c>
      <c r="C138" s="1" t="s">
        <v>20</v>
      </c>
      <c r="D138" s="1" t="s">
        <v>34</v>
      </c>
      <c r="E138" s="7">
        <v>148226.95035460993</v>
      </c>
      <c r="F138" s="4">
        <v>4</v>
      </c>
      <c r="G138" s="4">
        <v>2</v>
      </c>
      <c r="H138" s="4">
        <v>1</v>
      </c>
      <c r="I138" s="4">
        <v>1</v>
      </c>
      <c r="J138" s="4">
        <v>30000</v>
      </c>
      <c r="K138" s="4"/>
      <c r="L138" s="4"/>
      <c r="M138" s="5">
        <f t="shared" si="25"/>
        <v>0.5</v>
      </c>
      <c r="N138" s="5">
        <f t="shared" si="26"/>
        <v>0.5</v>
      </c>
      <c r="O138" s="5">
        <f t="shared" si="27"/>
        <v>1</v>
      </c>
      <c r="P138" s="3">
        <f t="shared" si="28"/>
        <v>74113.475177304965</v>
      </c>
      <c r="Q138" s="6">
        <f t="shared" si="29"/>
        <v>2.4287081339712917</v>
      </c>
    </row>
    <row r="139" spans="1:17" x14ac:dyDescent="0.4">
      <c r="A139" s="2">
        <v>46028</v>
      </c>
      <c r="B139" s="1" t="s">
        <v>23</v>
      </c>
      <c r="C139" s="1" t="s">
        <v>37</v>
      </c>
      <c r="D139" s="1" t="s">
        <v>32</v>
      </c>
      <c r="E139" s="7">
        <v>0</v>
      </c>
      <c r="F139" s="4">
        <v>6</v>
      </c>
      <c r="G139" s="4"/>
      <c r="H139" s="4"/>
      <c r="I139" s="4"/>
      <c r="J139" s="4"/>
      <c r="K139" s="4"/>
      <c r="L139" s="4"/>
      <c r="M139" s="5">
        <f t="shared" si="25"/>
        <v>0</v>
      </c>
      <c r="N139" s="5">
        <f t="shared" si="26"/>
        <v>0</v>
      </c>
      <c r="O139" s="5">
        <f t="shared" si="27"/>
        <v>0</v>
      </c>
      <c r="P139" s="3">
        <f t="shared" si="28"/>
        <v>0</v>
      </c>
      <c r="Q139" s="6">
        <f t="shared" si="29"/>
        <v>0</v>
      </c>
    </row>
    <row r="140" spans="1:17" x14ac:dyDescent="0.4">
      <c r="A140" s="2">
        <v>46028</v>
      </c>
      <c r="B140" s="1" t="s">
        <v>21</v>
      </c>
      <c r="C140" s="1" t="s">
        <v>22</v>
      </c>
      <c r="D140" s="1" t="s">
        <v>32</v>
      </c>
      <c r="E140" s="7">
        <v>283870.96774193551</v>
      </c>
      <c r="F140" s="4">
        <v>9</v>
      </c>
      <c r="G140" s="4">
        <v>2</v>
      </c>
      <c r="H140" s="4">
        <v>2</v>
      </c>
      <c r="I140" s="4">
        <v>2</v>
      </c>
      <c r="J140" s="4">
        <v>50000</v>
      </c>
      <c r="K140" s="4"/>
      <c r="L140" s="4"/>
      <c r="M140" s="5">
        <f t="shared" si="25"/>
        <v>1</v>
      </c>
      <c r="N140" s="5">
        <f t="shared" si="26"/>
        <v>0.22222222222222221</v>
      </c>
      <c r="O140" s="5">
        <f t="shared" si="27"/>
        <v>1</v>
      </c>
      <c r="P140" s="3">
        <f t="shared" si="28"/>
        <v>141935.48387096776</v>
      </c>
      <c r="Q140" s="6">
        <f t="shared" si="29"/>
        <v>2.1136363636363633</v>
      </c>
    </row>
    <row r="141" spans="1:17" x14ac:dyDescent="0.4">
      <c r="A141" s="2">
        <v>46028</v>
      </c>
      <c r="B141" s="1" t="s">
        <v>60</v>
      </c>
      <c r="C141" s="1" t="s">
        <v>63</v>
      </c>
      <c r="D141" s="1" t="s">
        <v>53</v>
      </c>
      <c r="E141" s="7">
        <v>169057.37704918033</v>
      </c>
      <c r="F141" s="4">
        <v>3</v>
      </c>
      <c r="G141" s="4">
        <v>1</v>
      </c>
      <c r="H141" s="4">
        <v>1</v>
      </c>
      <c r="I141" s="4"/>
      <c r="J141" s="4"/>
      <c r="K141" s="4"/>
      <c r="L141" s="4"/>
      <c r="M141" s="5">
        <f t="shared" si="25"/>
        <v>1</v>
      </c>
      <c r="N141" s="5">
        <f t="shared" si="26"/>
        <v>0.33333333333333331</v>
      </c>
      <c r="O141" s="5">
        <f t="shared" si="27"/>
        <v>0</v>
      </c>
      <c r="P141" s="3">
        <f t="shared" si="28"/>
        <v>169057.37704918033</v>
      </c>
      <c r="Q141" s="6">
        <f t="shared" si="29"/>
        <v>0</v>
      </c>
    </row>
    <row r="142" spans="1:17" x14ac:dyDescent="0.4">
      <c r="A142" s="2">
        <v>46028</v>
      </c>
      <c r="B142" s="1" t="s">
        <v>61</v>
      </c>
      <c r="C142" s="1" t="s">
        <v>64</v>
      </c>
      <c r="D142" s="1" t="s">
        <v>66</v>
      </c>
      <c r="E142" s="7">
        <v>0</v>
      </c>
      <c r="F142" s="4">
        <v>10</v>
      </c>
      <c r="G142" s="4">
        <v>1</v>
      </c>
      <c r="H142" s="4">
        <v>1</v>
      </c>
      <c r="I142" s="4"/>
      <c r="J142" s="4"/>
      <c r="K142" s="4"/>
      <c r="L142" s="4"/>
      <c r="M142" s="5">
        <f t="shared" si="25"/>
        <v>1</v>
      </c>
      <c r="N142" s="5">
        <f t="shared" si="26"/>
        <v>0.1</v>
      </c>
      <c r="O142" s="5">
        <f t="shared" si="27"/>
        <v>0</v>
      </c>
      <c r="P142" s="3">
        <f t="shared" si="28"/>
        <v>0</v>
      </c>
      <c r="Q142" s="6">
        <f t="shared" si="29"/>
        <v>0</v>
      </c>
    </row>
    <row r="143" spans="1:17" x14ac:dyDescent="0.4">
      <c r="A143" s="2">
        <v>46028</v>
      </c>
      <c r="B143" s="1" t="s">
        <v>62</v>
      </c>
      <c r="C143" s="1" t="s">
        <v>65</v>
      </c>
      <c r="D143" s="1" t="s">
        <v>67</v>
      </c>
      <c r="E143" s="7">
        <v>528846.15384615399</v>
      </c>
      <c r="F143" s="4">
        <v>4</v>
      </c>
      <c r="G143" s="4">
        <v>1</v>
      </c>
      <c r="H143" s="4">
        <v>1</v>
      </c>
      <c r="I143" s="4">
        <v>1</v>
      </c>
      <c r="J143" s="4">
        <v>30000</v>
      </c>
      <c r="K143" s="4"/>
      <c r="L143" s="4"/>
      <c r="M143" s="5">
        <f t="shared" si="25"/>
        <v>1</v>
      </c>
      <c r="N143" s="5">
        <f t="shared" si="26"/>
        <v>0.25</v>
      </c>
      <c r="O143" s="5">
        <f t="shared" si="27"/>
        <v>1</v>
      </c>
      <c r="P143" s="3">
        <f t="shared" si="28"/>
        <v>528846.15384615399</v>
      </c>
      <c r="Q143" s="6">
        <f t="shared" si="29"/>
        <v>0.68072727272727251</v>
      </c>
    </row>
    <row r="144" spans="1:17" x14ac:dyDescent="0.4">
      <c r="A144" s="2">
        <v>46028</v>
      </c>
      <c r="B144" s="1" t="s">
        <v>42</v>
      </c>
      <c r="C144" s="1" t="s">
        <v>38</v>
      </c>
      <c r="D144" s="1" t="s">
        <v>42</v>
      </c>
      <c r="E144" s="7">
        <v>0</v>
      </c>
      <c r="F144" s="4">
        <v>0</v>
      </c>
      <c r="G144" s="4"/>
      <c r="H144" s="4"/>
      <c r="I144" s="4"/>
      <c r="J144" s="4"/>
      <c r="K144" s="4"/>
      <c r="L144" s="4"/>
      <c r="M144" s="5">
        <f t="shared" si="25"/>
        <v>0</v>
      </c>
      <c r="N144" s="5">
        <f t="shared" si="26"/>
        <v>0</v>
      </c>
      <c r="O144" s="5">
        <f t="shared" si="27"/>
        <v>0</v>
      </c>
      <c r="P144" s="3">
        <f t="shared" si="28"/>
        <v>0</v>
      </c>
      <c r="Q144" s="6">
        <f t="shared" si="29"/>
        <v>0</v>
      </c>
    </row>
    <row r="145" spans="1:17" x14ac:dyDescent="0.4">
      <c r="A145" s="2">
        <v>46028</v>
      </c>
      <c r="B145" s="1" t="s">
        <v>7</v>
      </c>
      <c r="C145" s="1" t="s">
        <v>8</v>
      </c>
      <c r="D145" s="1" t="s">
        <v>42</v>
      </c>
      <c r="E145" s="7">
        <v>0</v>
      </c>
      <c r="F145" s="4">
        <v>0</v>
      </c>
      <c r="G145" s="3">
        <v>2</v>
      </c>
      <c r="H145" s="3">
        <v>1</v>
      </c>
      <c r="I145" s="3"/>
      <c r="J145" s="3"/>
      <c r="K145" s="3"/>
      <c r="L145" s="3"/>
      <c r="M145" s="5">
        <f t="shared" ref="M145:M236" si="30">IFERROR(H145/G145,0)</f>
        <v>0.5</v>
      </c>
      <c r="N145" s="5">
        <f t="shared" ref="N145:N236" si="31">IFERROR(G145/F145,0)</f>
        <v>0</v>
      </c>
      <c r="O145" s="5">
        <f t="shared" ref="O145:O236" si="32">IFERROR(I145/H145,0)</f>
        <v>0</v>
      </c>
      <c r="P145" s="3">
        <f t="shared" ref="P145:P236" si="33">IFERROR(E145/G145,0)</f>
        <v>0</v>
      </c>
      <c r="Q145" s="6">
        <f t="shared" ref="Q145:Q236" si="34">IFERROR(J145*12/E145,0)</f>
        <v>0</v>
      </c>
    </row>
    <row r="146" spans="1:17" x14ac:dyDescent="0.4">
      <c r="A146" s="2">
        <v>46029</v>
      </c>
      <c r="B146" s="1" t="s">
        <v>13</v>
      </c>
      <c r="C146" s="1" t="s">
        <v>14</v>
      </c>
      <c r="D146" s="1" t="s">
        <v>31</v>
      </c>
      <c r="E146" s="7">
        <v>1005107.832009082</v>
      </c>
      <c r="F146" s="4">
        <v>3</v>
      </c>
      <c r="G146" s="4">
        <v>11</v>
      </c>
      <c r="H146" s="4">
        <v>6</v>
      </c>
      <c r="I146" s="4">
        <v>7</v>
      </c>
      <c r="J146" s="4">
        <v>145000</v>
      </c>
      <c r="K146" s="4">
        <v>1</v>
      </c>
      <c r="L146" s="4">
        <v>30000</v>
      </c>
      <c r="M146" s="5">
        <f t="shared" si="30"/>
        <v>0.54545454545454541</v>
      </c>
      <c r="N146" s="5">
        <f t="shared" si="31"/>
        <v>3.6666666666666665</v>
      </c>
      <c r="O146" s="5">
        <f t="shared" si="32"/>
        <v>1.1666666666666667</v>
      </c>
      <c r="P146" s="3">
        <f t="shared" si="33"/>
        <v>91373.439273552911</v>
      </c>
      <c r="Q146" s="6">
        <f t="shared" si="34"/>
        <v>1.7311575381140576</v>
      </c>
    </row>
    <row r="147" spans="1:17" x14ac:dyDescent="0.4">
      <c r="A147" s="2">
        <v>46029</v>
      </c>
      <c r="B147" s="1" t="s">
        <v>11</v>
      </c>
      <c r="C147" s="1" t="s">
        <v>12</v>
      </c>
      <c r="D147" s="1" t="s">
        <v>32</v>
      </c>
      <c r="E147" s="7">
        <v>165413.53383458647</v>
      </c>
      <c r="F147" s="4">
        <v>4</v>
      </c>
      <c r="G147" s="4"/>
      <c r="H147" s="4"/>
      <c r="I147" s="4"/>
      <c r="J147" s="4"/>
      <c r="K147" s="4"/>
      <c r="L147" s="4"/>
      <c r="M147" s="5">
        <f t="shared" si="30"/>
        <v>0</v>
      </c>
      <c r="N147" s="5">
        <f t="shared" si="31"/>
        <v>0</v>
      </c>
      <c r="O147" s="5">
        <f t="shared" si="32"/>
        <v>0</v>
      </c>
      <c r="P147" s="3">
        <f t="shared" si="33"/>
        <v>0</v>
      </c>
      <c r="Q147" s="6">
        <f t="shared" si="34"/>
        <v>0</v>
      </c>
    </row>
    <row r="148" spans="1:17" x14ac:dyDescent="0.4">
      <c r="A148" s="2">
        <v>46029</v>
      </c>
      <c r="B148" s="1" t="s">
        <v>17</v>
      </c>
      <c r="C148" s="1" t="s">
        <v>18</v>
      </c>
      <c r="D148" s="1" t="s">
        <v>53</v>
      </c>
      <c r="E148" s="7">
        <v>177419.35483870967</v>
      </c>
      <c r="F148" s="4">
        <v>4</v>
      </c>
      <c r="G148" s="4">
        <v>1</v>
      </c>
      <c r="H148" s="4">
        <v>1</v>
      </c>
      <c r="I148" s="4"/>
      <c r="J148" s="4"/>
      <c r="K148" s="4"/>
      <c r="L148" s="4"/>
      <c r="M148" s="5">
        <f t="shared" si="30"/>
        <v>1</v>
      </c>
      <c r="N148" s="5">
        <f t="shared" si="31"/>
        <v>0.25</v>
      </c>
      <c r="O148" s="5">
        <f t="shared" si="32"/>
        <v>0</v>
      </c>
      <c r="P148" s="3">
        <f t="shared" si="33"/>
        <v>177419.35483870967</v>
      </c>
      <c r="Q148" s="6">
        <f t="shared" si="34"/>
        <v>0</v>
      </c>
    </row>
    <row r="149" spans="1:17" x14ac:dyDescent="0.4">
      <c r="A149" s="2">
        <v>46029</v>
      </c>
      <c r="B149" s="1" t="s">
        <v>25</v>
      </c>
      <c r="C149" s="1" t="s">
        <v>35</v>
      </c>
      <c r="D149" s="1" t="s">
        <v>32</v>
      </c>
      <c r="E149" s="7">
        <v>0</v>
      </c>
      <c r="F149" s="4">
        <v>5</v>
      </c>
      <c r="G149" s="4">
        <v>2</v>
      </c>
      <c r="H149" s="4"/>
      <c r="I149" s="4"/>
      <c r="J149" s="4"/>
      <c r="K149" s="4"/>
      <c r="L149" s="4"/>
      <c r="M149" s="5">
        <f t="shared" si="30"/>
        <v>0</v>
      </c>
      <c r="N149" s="5">
        <f t="shared" si="31"/>
        <v>0.4</v>
      </c>
      <c r="O149" s="5">
        <f t="shared" si="32"/>
        <v>0</v>
      </c>
      <c r="P149" s="3">
        <f t="shared" si="33"/>
        <v>0</v>
      </c>
      <c r="Q149" s="6">
        <f t="shared" si="34"/>
        <v>0</v>
      </c>
    </row>
    <row r="150" spans="1:17" x14ac:dyDescent="0.4">
      <c r="A150" s="2">
        <v>46029</v>
      </c>
      <c r="B150" s="1" t="s">
        <v>24</v>
      </c>
      <c r="C150" s="1" t="s">
        <v>6</v>
      </c>
      <c r="D150" s="1" t="s">
        <v>69</v>
      </c>
      <c r="E150" s="7">
        <v>150413</v>
      </c>
      <c r="F150" s="4">
        <v>4</v>
      </c>
      <c r="G150" s="4" t="s">
        <v>68</v>
      </c>
      <c r="H150" s="4" t="s">
        <v>68</v>
      </c>
      <c r="I150" s="4" t="s">
        <v>68</v>
      </c>
      <c r="J150" s="4" t="s">
        <v>68</v>
      </c>
      <c r="K150" s="4" t="s">
        <v>68</v>
      </c>
      <c r="L150" s="4" t="s">
        <v>68</v>
      </c>
      <c r="M150" s="5">
        <f t="shared" si="30"/>
        <v>0</v>
      </c>
      <c r="N150" s="5">
        <f t="shared" si="31"/>
        <v>0</v>
      </c>
      <c r="O150" s="5">
        <f t="shared" si="32"/>
        <v>0</v>
      </c>
      <c r="P150" s="3">
        <f t="shared" si="33"/>
        <v>0</v>
      </c>
      <c r="Q150" s="6">
        <f t="shared" si="34"/>
        <v>0</v>
      </c>
    </row>
    <row r="151" spans="1:17" x14ac:dyDescent="0.4">
      <c r="A151" s="2">
        <v>46029</v>
      </c>
      <c r="B151" s="1" t="s">
        <v>9</v>
      </c>
      <c r="C151" s="1" t="s">
        <v>6</v>
      </c>
      <c r="D151" s="1" t="s">
        <v>70</v>
      </c>
      <c r="E151" s="7">
        <v>338429</v>
      </c>
      <c r="F151" s="4">
        <v>9</v>
      </c>
      <c r="G151" s="4" t="s">
        <v>68</v>
      </c>
      <c r="H151" s="4" t="s">
        <v>68</v>
      </c>
      <c r="I151" s="4" t="s">
        <v>68</v>
      </c>
      <c r="J151" s="4" t="s">
        <v>68</v>
      </c>
      <c r="K151" s="4" t="s">
        <v>68</v>
      </c>
      <c r="L151" s="4" t="s">
        <v>68</v>
      </c>
      <c r="M151" s="5">
        <f t="shared" si="30"/>
        <v>0</v>
      </c>
      <c r="N151" s="5">
        <f t="shared" si="31"/>
        <v>0</v>
      </c>
      <c r="O151" s="5">
        <f t="shared" si="32"/>
        <v>0</v>
      </c>
      <c r="P151" s="3">
        <f t="shared" si="33"/>
        <v>0</v>
      </c>
      <c r="Q151" s="6">
        <f t="shared" si="34"/>
        <v>0</v>
      </c>
    </row>
    <row r="152" spans="1:17" x14ac:dyDescent="0.4">
      <c r="A152" s="2">
        <v>46029</v>
      </c>
      <c r="B152" s="1" t="s">
        <v>15</v>
      </c>
      <c r="C152" s="1" t="s">
        <v>6</v>
      </c>
      <c r="D152" s="1" t="s">
        <v>44</v>
      </c>
      <c r="E152" s="7">
        <v>338429</v>
      </c>
      <c r="F152" s="4">
        <v>9</v>
      </c>
      <c r="G152" s="4">
        <v>3</v>
      </c>
      <c r="H152" s="4">
        <v>3</v>
      </c>
      <c r="I152" s="4">
        <v>2</v>
      </c>
      <c r="J152" s="4">
        <v>40000</v>
      </c>
      <c r="K152" s="4" t="s">
        <v>68</v>
      </c>
      <c r="L152" s="4" t="s">
        <v>68</v>
      </c>
      <c r="M152" s="5">
        <f t="shared" si="30"/>
        <v>1</v>
      </c>
      <c r="N152" s="5">
        <f t="shared" si="31"/>
        <v>0.33333333333333331</v>
      </c>
      <c r="O152" s="5">
        <f t="shared" si="32"/>
        <v>0.66666666666666663</v>
      </c>
      <c r="P152" s="3">
        <f t="shared" si="33"/>
        <v>112809.66666666667</v>
      </c>
      <c r="Q152" s="6">
        <f t="shared" si="34"/>
        <v>1.4183181701331742</v>
      </c>
    </row>
    <row r="153" spans="1:17" x14ac:dyDescent="0.4">
      <c r="A153" s="2">
        <v>46029</v>
      </c>
      <c r="B153" s="1" t="s">
        <v>10</v>
      </c>
      <c r="C153" s="1" t="s">
        <v>6</v>
      </c>
      <c r="D153" s="1" t="s">
        <v>33</v>
      </c>
      <c r="E153" s="7">
        <v>188016</v>
      </c>
      <c r="F153" s="4">
        <v>5</v>
      </c>
      <c r="G153" s="4">
        <v>2</v>
      </c>
      <c r="H153" s="4">
        <v>1</v>
      </c>
      <c r="I153" s="4">
        <v>1</v>
      </c>
      <c r="J153" s="4">
        <v>20000</v>
      </c>
      <c r="K153" s="4" t="s">
        <v>68</v>
      </c>
      <c r="L153" s="4" t="s">
        <v>68</v>
      </c>
      <c r="M153" s="5">
        <f t="shared" si="30"/>
        <v>0.5</v>
      </c>
      <c r="N153" s="5">
        <f t="shared" si="31"/>
        <v>0.4</v>
      </c>
      <c r="O153" s="5">
        <f t="shared" si="32"/>
        <v>1</v>
      </c>
      <c r="P153" s="3">
        <f t="shared" si="33"/>
        <v>94008</v>
      </c>
      <c r="Q153" s="6">
        <f t="shared" si="34"/>
        <v>1.2764871074802144</v>
      </c>
    </row>
    <row r="154" spans="1:17" x14ac:dyDescent="0.4">
      <c r="A154" s="2">
        <v>46029</v>
      </c>
      <c r="B154" s="1" t="s">
        <v>74</v>
      </c>
      <c r="C154" s="1" t="s">
        <v>6</v>
      </c>
      <c r="D154" s="1" t="s">
        <v>71</v>
      </c>
      <c r="E154" s="7">
        <v>188016</v>
      </c>
      <c r="F154" s="4">
        <v>5</v>
      </c>
      <c r="G154" s="4">
        <v>1</v>
      </c>
      <c r="H154" s="4">
        <v>1</v>
      </c>
      <c r="I154" s="4">
        <v>1</v>
      </c>
      <c r="J154" s="4">
        <v>20000</v>
      </c>
      <c r="K154" s="4" t="s">
        <v>68</v>
      </c>
      <c r="L154" s="4" t="s">
        <v>68</v>
      </c>
      <c r="M154" s="5">
        <f t="shared" si="30"/>
        <v>1</v>
      </c>
      <c r="N154" s="5">
        <f t="shared" si="31"/>
        <v>0.2</v>
      </c>
      <c r="O154" s="5">
        <f t="shared" si="32"/>
        <v>1</v>
      </c>
      <c r="P154" s="3">
        <f t="shared" si="33"/>
        <v>188016</v>
      </c>
      <c r="Q154" s="6">
        <f t="shared" si="34"/>
        <v>1.2764871074802144</v>
      </c>
    </row>
    <row r="155" spans="1:17" x14ac:dyDescent="0.4">
      <c r="A155" s="2">
        <v>46029</v>
      </c>
      <c r="B155" s="1" t="s">
        <v>75</v>
      </c>
      <c r="C155" s="1" t="s">
        <v>6</v>
      </c>
      <c r="D155" s="1" t="s">
        <v>72</v>
      </c>
      <c r="E155" s="7">
        <v>188016</v>
      </c>
      <c r="F155" s="4">
        <v>5</v>
      </c>
      <c r="G155" s="4">
        <v>4</v>
      </c>
      <c r="H155" s="4">
        <v>4</v>
      </c>
      <c r="I155" s="4">
        <v>3</v>
      </c>
      <c r="J155" s="4">
        <v>70000</v>
      </c>
      <c r="K155" s="4" t="s">
        <v>68</v>
      </c>
      <c r="L155" s="4" t="s">
        <v>68</v>
      </c>
      <c r="M155" s="5">
        <f t="shared" si="30"/>
        <v>1</v>
      </c>
      <c r="N155" s="5">
        <f t="shared" si="31"/>
        <v>0.8</v>
      </c>
      <c r="O155" s="5">
        <f t="shared" si="32"/>
        <v>0.75</v>
      </c>
      <c r="P155" s="3">
        <f t="shared" si="33"/>
        <v>47004</v>
      </c>
      <c r="Q155" s="6">
        <f t="shared" si="34"/>
        <v>4.4677048761807505</v>
      </c>
    </row>
    <row r="156" spans="1:17" x14ac:dyDescent="0.4">
      <c r="A156" s="2">
        <v>46029</v>
      </c>
      <c r="B156" s="1" t="s">
        <v>76</v>
      </c>
      <c r="C156" s="1" t="s">
        <v>6</v>
      </c>
      <c r="D156" s="1" t="s">
        <v>73</v>
      </c>
      <c r="E156" s="7">
        <v>188016</v>
      </c>
      <c r="F156" s="4">
        <v>5</v>
      </c>
      <c r="G156" s="4">
        <v>1</v>
      </c>
      <c r="H156" s="4">
        <v>1</v>
      </c>
      <c r="I156" s="4">
        <v>1</v>
      </c>
      <c r="J156" s="4">
        <v>25000</v>
      </c>
      <c r="K156" s="4" t="s">
        <v>68</v>
      </c>
      <c r="L156" s="4" t="s">
        <v>68</v>
      </c>
      <c r="M156" s="5">
        <f t="shared" si="30"/>
        <v>1</v>
      </c>
      <c r="N156" s="5">
        <f t="shared" si="31"/>
        <v>0.2</v>
      </c>
      <c r="O156" s="5">
        <f t="shared" si="32"/>
        <v>1</v>
      </c>
      <c r="P156" s="3">
        <f t="shared" si="33"/>
        <v>188016</v>
      </c>
      <c r="Q156" s="6">
        <f t="shared" si="34"/>
        <v>1.595608884350268</v>
      </c>
    </row>
    <row r="157" spans="1:17" x14ac:dyDescent="0.4">
      <c r="A157" s="2">
        <v>46029</v>
      </c>
      <c r="B157" s="1" t="s">
        <v>5</v>
      </c>
      <c r="C157" s="1" t="s">
        <v>6</v>
      </c>
      <c r="D157" s="1" t="s">
        <v>52</v>
      </c>
      <c r="E157" s="7">
        <v>188016</v>
      </c>
      <c r="F157" s="4">
        <v>5</v>
      </c>
      <c r="G157" s="4">
        <v>1</v>
      </c>
      <c r="H157" s="4">
        <v>1</v>
      </c>
      <c r="I157" s="4" t="s">
        <v>68</v>
      </c>
      <c r="J157" s="4" t="s">
        <v>68</v>
      </c>
      <c r="K157" s="4" t="s">
        <v>68</v>
      </c>
      <c r="L157" s="4" t="s">
        <v>68</v>
      </c>
      <c r="M157" s="5">
        <f t="shared" si="30"/>
        <v>1</v>
      </c>
      <c r="N157" s="5">
        <f t="shared" si="31"/>
        <v>0.2</v>
      </c>
      <c r="O157" s="5">
        <f t="shared" si="32"/>
        <v>0</v>
      </c>
      <c r="P157" s="3">
        <f t="shared" si="33"/>
        <v>188016</v>
      </c>
      <c r="Q157" s="6">
        <f t="shared" si="34"/>
        <v>0</v>
      </c>
    </row>
    <row r="158" spans="1:17" x14ac:dyDescent="0.4">
      <c r="A158" s="2">
        <v>46029</v>
      </c>
      <c r="B158" s="1" t="s">
        <v>26</v>
      </c>
      <c r="C158" s="1" t="s">
        <v>36</v>
      </c>
      <c r="D158" s="1" t="s">
        <v>52</v>
      </c>
      <c r="E158" s="7">
        <v>0</v>
      </c>
      <c r="F158" s="4">
        <v>1</v>
      </c>
      <c r="G158" s="4">
        <v>1</v>
      </c>
      <c r="H158" s="4">
        <v>1</v>
      </c>
      <c r="I158" s="4">
        <v>1</v>
      </c>
      <c r="J158" s="4">
        <v>20000</v>
      </c>
      <c r="K158" s="4"/>
      <c r="L158" s="4"/>
      <c r="M158" s="5">
        <f t="shared" si="30"/>
        <v>1</v>
      </c>
      <c r="N158" s="5">
        <f t="shared" si="31"/>
        <v>1</v>
      </c>
      <c r="O158" s="5">
        <f t="shared" si="32"/>
        <v>1</v>
      </c>
      <c r="P158" s="3">
        <f t="shared" si="33"/>
        <v>0</v>
      </c>
      <c r="Q158" s="6">
        <f t="shared" si="34"/>
        <v>0</v>
      </c>
    </row>
    <row r="159" spans="1:17" x14ac:dyDescent="0.4">
      <c r="A159" s="2">
        <v>46029</v>
      </c>
      <c r="B159" s="1" t="s">
        <v>51</v>
      </c>
      <c r="C159" s="1" t="s">
        <v>50</v>
      </c>
      <c r="D159" s="1" t="s">
        <v>54</v>
      </c>
      <c r="E159" s="7">
        <v>428571.42857142858</v>
      </c>
      <c r="F159" s="4">
        <v>3</v>
      </c>
      <c r="G159" s="4">
        <v>6</v>
      </c>
      <c r="H159" s="4">
        <v>2</v>
      </c>
      <c r="I159" s="4">
        <v>1</v>
      </c>
      <c r="J159" s="4">
        <v>20000</v>
      </c>
      <c r="K159" s="4"/>
      <c r="L159" s="4"/>
      <c r="M159" s="5">
        <f t="shared" si="30"/>
        <v>0.33333333333333331</v>
      </c>
      <c r="N159" s="5">
        <f t="shared" si="31"/>
        <v>2</v>
      </c>
      <c r="O159" s="5">
        <f t="shared" si="32"/>
        <v>0.5</v>
      </c>
      <c r="P159" s="3">
        <f t="shared" si="33"/>
        <v>71428.571428571435</v>
      </c>
      <c r="Q159" s="6">
        <f t="shared" si="34"/>
        <v>0.55999999999999994</v>
      </c>
    </row>
    <row r="160" spans="1:17" x14ac:dyDescent="0.4">
      <c r="A160" s="2">
        <v>46029</v>
      </c>
      <c r="B160" s="1" t="s">
        <v>56</v>
      </c>
      <c r="C160" s="1" t="s">
        <v>57</v>
      </c>
      <c r="D160" s="1" t="s">
        <v>59</v>
      </c>
      <c r="E160" s="7">
        <v>229166.66666666666</v>
      </c>
      <c r="F160" s="4">
        <v>6</v>
      </c>
      <c r="G160" s="4"/>
      <c r="H160" s="4"/>
      <c r="I160" s="4"/>
      <c r="J160" s="4"/>
      <c r="K160" s="4"/>
      <c r="L160" s="4"/>
      <c r="M160" s="5">
        <f t="shared" si="30"/>
        <v>0</v>
      </c>
      <c r="N160" s="5">
        <f t="shared" si="31"/>
        <v>0</v>
      </c>
      <c r="O160" s="5">
        <f t="shared" si="32"/>
        <v>0</v>
      </c>
      <c r="P160" s="3">
        <f t="shared" si="33"/>
        <v>0</v>
      </c>
      <c r="Q160" s="6">
        <f t="shared" si="34"/>
        <v>0</v>
      </c>
    </row>
    <row r="161" spans="1:17" x14ac:dyDescent="0.4">
      <c r="A161" s="2">
        <v>46029</v>
      </c>
      <c r="B161" s="1" t="s">
        <v>16</v>
      </c>
      <c r="C161" s="1" t="s">
        <v>58</v>
      </c>
      <c r="D161" s="1" t="s">
        <v>53</v>
      </c>
      <c r="E161" s="7">
        <v>206250.00000000003</v>
      </c>
      <c r="F161" s="4">
        <v>3</v>
      </c>
      <c r="G161" s="4"/>
      <c r="H161" s="4"/>
      <c r="I161" s="4"/>
      <c r="J161" s="4"/>
      <c r="K161" s="4"/>
      <c r="L161" s="4"/>
      <c r="M161" s="5">
        <f t="shared" si="30"/>
        <v>0</v>
      </c>
      <c r="N161" s="5">
        <f t="shared" si="31"/>
        <v>0</v>
      </c>
      <c r="O161" s="5">
        <f t="shared" si="32"/>
        <v>0</v>
      </c>
      <c r="P161" s="3">
        <f t="shared" si="33"/>
        <v>0</v>
      </c>
      <c r="Q161" s="6">
        <f t="shared" si="34"/>
        <v>0</v>
      </c>
    </row>
    <row r="162" spans="1:17" x14ac:dyDescent="0.4">
      <c r="A162" s="2">
        <v>46029</v>
      </c>
      <c r="B162" s="1" t="s">
        <v>19</v>
      </c>
      <c r="C162" s="1" t="s">
        <v>20</v>
      </c>
      <c r="D162" s="1" t="s">
        <v>34</v>
      </c>
      <c r="E162" s="7">
        <v>210638.29787234045</v>
      </c>
      <c r="F162" s="4">
        <v>4</v>
      </c>
      <c r="G162" s="4">
        <v>1</v>
      </c>
      <c r="H162" s="4">
        <v>1</v>
      </c>
      <c r="I162" s="4"/>
      <c r="J162" s="4"/>
      <c r="K162" s="4"/>
      <c r="L162" s="4"/>
      <c r="M162" s="5">
        <f t="shared" si="30"/>
        <v>1</v>
      </c>
      <c r="N162" s="5">
        <f t="shared" si="31"/>
        <v>0.25</v>
      </c>
      <c r="O162" s="5">
        <f t="shared" si="32"/>
        <v>0</v>
      </c>
      <c r="P162" s="3">
        <f t="shared" si="33"/>
        <v>210638.29787234045</v>
      </c>
      <c r="Q162" s="6">
        <f t="shared" si="34"/>
        <v>0</v>
      </c>
    </row>
    <row r="163" spans="1:17" x14ac:dyDescent="0.4">
      <c r="A163" s="2">
        <v>46029</v>
      </c>
      <c r="B163" s="1" t="s">
        <v>23</v>
      </c>
      <c r="C163" s="1" t="s">
        <v>37</v>
      </c>
      <c r="D163" s="1" t="s">
        <v>32</v>
      </c>
      <c r="E163" s="7">
        <v>0</v>
      </c>
      <c r="F163" s="4">
        <v>7</v>
      </c>
      <c r="G163" s="4">
        <v>2</v>
      </c>
      <c r="H163" s="4">
        <v>2</v>
      </c>
      <c r="I163" s="4">
        <v>1</v>
      </c>
      <c r="J163" s="4">
        <v>30000</v>
      </c>
      <c r="K163" s="4"/>
      <c r="L163" s="4"/>
      <c r="M163" s="5">
        <f t="shared" si="30"/>
        <v>1</v>
      </c>
      <c r="N163" s="5">
        <f t="shared" si="31"/>
        <v>0.2857142857142857</v>
      </c>
      <c r="O163" s="5">
        <f t="shared" si="32"/>
        <v>0.5</v>
      </c>
      <c r="P163" s="3">
        <f t="shared" si="33"/>
        <v>0</v>
      </c>
      <c r="Q163" s="6">
        <f t="shared" si="34"/>
        <v>0</v>
      </c>
    </row>
    <row r="164" spans="1:17" x14ac:dyDescent="0.4">
      <c r="A164" s="2">
        <v>46029</v>
      </c>
      <c r="B164" s="1" t="s">
        <v>21</v>
      </c>
      <c r="C164" s="1" t="s">
        <v>22</v>
      </c>
      <c r="D164" s="1" t="s">
        <v>32</v>
      </c>
      <c r="E164" s="7">
        <v>283870.96774193551</v>
      </c>
      <c r="F164" s="4">
        <v>9</v>
      </c>
      <c r="G164" s="4">
        <v>3</v>
      </c>
      <c r="H164" s="4">
        <v>2</v>
      </c>
      <c r="I164" s="4">
        <v>1</v>
      </c>
      <c r="J164" s="4">
        <v>30000</v>
      </c>
      <c r="K164" s="4"/>
      <c r="L164" s="4"/>
      <c r="M164" s="5">
        <f t="shared" si="30"/>
        <v>0.66666666666666663</v>
      </c>
      <c r="N164" s="5">
        <f t="shared" si="31"/>
        <v>0.33333333333333331</v>
      </c>
      <c r="O164" s="5">
        <f t="shared" si="32"/>
        <v>0.5</v>
      </c>
      <c r="P164" s="3">
        <f t="shared" si="33"/>
        <v>94623.655913978509</v>
      </c>
      <c r="Q164" s="6">
        <f t="shared" si="34"/>
        <v>1.2681818181818181</v>
      </c>
    </row>
    <row r="165" spans="1:17" x14ac:dyDescent="0.4">
      <c r="A165" s="2">
        <v>46029</v>
      </c>
      <c r="B165" s="1" t="s">
        <v>60</v>
      </c>
      <c r="C165" s="1" t="s">
        <v>63</v>
      </c>
      <c r="D165" s="1" t="s">
        <v>53</v>
      </c>
      <c r="E165" s="7">
        <v>169057.37704918033</v>
      </c>
      <c r="F165" s="4">
        <v>3</v>
      </c>
      <c r="G165" s="4"/>
      <c r="H165" s="4"/>
      <c r="I165" s="4"/>
      <c r="J165" s="4"/>
      <c r="K165" s="4"/>
      <c r="L165" s="4"/>
      <c r="M165" s="5">
        <f t="shared" si="30"/>
        <v>0</v>
      </c>
      <c r="N165" s="5">
        <f t="shared" si="31"/>
        <v>0</v>
      </c>
      <c r="O165" s="5">
        <f t="shared" si="32"/>
        <v>0</v>
      </c>
      <c r="P165" s="3">
        <f t="shared" si="33"/>
        <v>0</v>
      </c>
      <c r="Q165" s="6">
        <f t="shared" si="34"/>
        <v>0</v>
      </c>
    </row>
    <row r="166" spans="1:17" x14ac:dyDescent="0.4">
      <c r="A166" s="2">
        <v>46029</v>
      </c>
      <c r="B166" s="1" t="s">
        <v>61</v>
      </c>
      <c r="C166" s="1" t="s">
        <v>64</v>
      </c>
      <c r="D166" s="1" t="s">
        <v>66</v>
      </c>
      <c r="E166" s="7">
        <v>0</v>
      </c>
      <c r="F166" s="4">
        <v>10</v>
      </c>
      <c r="G166" s="4">
        <v>1</v>
      </c>
      <c r="H166" s="4">
        <v>1</v>
      </c>
      <c r="I166" s="4"/>
      <c r="J166" s="4"/>
      <c r="K166" s="4">
        <v>1</v>
      </c>
      <c r="L166" s="4">
        <v>20000</v>
      </c>
      <c r="M166" s="5">
        <f t="shared" si="30"/>
        <v>1</v>
      </c>
      <c r="N166" s="5">
        <f t="shared" si="31"/>
        <v>0.1</v>
      </c>
      <c r="O166" s="5">
        <f t="shared" si="32"/>
        <v>0</v>
      </c>
      <c r="P166" s="3">
        <f t="shared" si="33"/>
        <v>0</v>
      </c>
      <c r="Q166" s="6">
        <f t="shared" si="34"/>
        <v>0</v>
      </c>
    </row>
    <row r="167" spans="1:17" x14ac:dyDescent="0.4">
      <c r="A167" s="2">
        <v>46029</v>
      </c>
      <c r="B167" s="1" t="s">
        <v>62</v>
      </c>
      <c r="C167" s="1" t="s">
        <v>65</v>
      </c>
      <c r="D167" s="1" t="s">
        <v>67</v>
      </c>
      <c r="E167" s="7">
        <v>528846.15384615399</v>
      </c>
      <c r="F167" s="4">
        <v>4</v>
      </c>
      <c r="G167" s="4">
        <v>2</v>
      </c>
      <c r="H167" s="4">
        <v>2</v>
      </c>
      <c r="I167" s="4">
        <v>1</v>
      </c>
      <c r="J167" s="4">
        <v>20000</v>
      </c>
      <c r="K167" s="4">
        <v>1</v>
      </c>
      <c r="L167" s="4">
        <v>40000</v>
      </c>
      <c r="M167" s="5">
        <f t="shared" si="30"/>
        <v>1</v>
      </c>
      <c r="N167" s="5">
        <f t="shared" si="31"/>
        <v>0.5</v>
      </c>
      <c r="O167" s="5">
        <f t="shared" si="32"/>
        <v>0.5</v>
      </c>
      <c r="P167" s="3">
        <f t="shared" si="33"/>
        <v>264423.07692307699</v>
      </c>
      <c r="Q167" s="6">
        <f t="shared" si="34"/>
        <v>0.45381818181818168</v>
      </c>
    </row>
    <row r="168" spans="1:17" x14ac:dyDescent="0.4">
      <c r="A168" s="2">
        <v>46029</v>
      </c>
      <c r="B168" s="1" t="s">
        <v>42</v>
      </c>
      <c r="C168" s="1" t="s">
        <v>38</v>
      </c>
      <c r="D168" s="1" t="s">
        <v>42</v>
      </c>
      <c r="E168" s="7">
        <v>0</v>
      </c>
      <c r="F168" s="4">
        <v>0</v>
      </c>
      <c r="G168" s="4"/>
      <c r="H168" s="4"/>
      <c r="I168" s="4"/>
      <c r="J168" s="4"/>
      <c r="K168" s="4"/>
      <c r="L168" s="4"/>
      <c r="M168" s="5">
        <f t="shared" si="30"/>
        <v>0</v>
      </c>
      <c r="N168" s="5">
        <f t="shared" si="31"/>
        <v>0</v>
      </c>
      <c r="O168" s="5">
        <f t="shared" si="32"/>
        <v>0</v>
      </c>
      <c r="P168" s="3">
        <f t="shared" si="33"/>
        <v>0</v>
      </c>
      <c r="Q168" s="6">
        <f t="shared" si="34"/>
        <v>0</v>
      </c>
    </row>
    <row r="169" spans="1:17" x14ac:dyDescent="0.4">
      <c r="A169" s="2">
        <v>46029</v>
      </c>
      <c r="B169" s="1" t="s">
        <v>7</v>
      </c>
      <c r="C169" s="1" t="s">
        <v>8</v>
      </c>
      <c r="D169" s="1" t="s">
        <v>42</v>
      </c>
      <c r="E169" s="7">
        <v>0</v>
      </c>
      <c r="F169" s="4">
        <v>0</v>
      </c>
      <c r="G169" s="3">
        <v>5</v>
      </c>
      <c r="H169" s="3">
        <v>1</v>
      </c>
      <c r="I169" s="3"/>
      <c r="J169" s="3"/>
      <c r="K169" s="3"/>
      <c r="L169" s="3"/>
      <c r="M169" s="5">
        <f t="shared" si="30"/>
        <v>0.2</v>
      </c>
      <c r="N169" s="5">
        <f t="shared" si="31"/>
        <v>0</v>
      </c>
      <c r="O169" s="5">
        <f t="shared" si="32"/>
        <v>0</v>
      </c>
      <c r="P169" s="3">
        <f t="shared" si="33"/>
        <v>0</v>
      </c>
      <c r="Q169" s="6">
        <f t="shared" si="34"/>
        <v>0</v>
      </c>
    </row>
    <row r="170" spans="1:17" x14ac:dyDescent="0.4">
      <c r="A170" s="2">
        <v>46030</v>
      </c>
      <c r="B170" s="1" t="s">
        <v>13</v>
      </c>
      <c r="C170" s="1" t="s">
        <v>14</v>
      </c>
      <c r="D170" s="1" t="s">
        <v>31</v>
      </c>
      <c r="E170" s="7">
        <v>1420261.0669693549</v>
      </c>
      <c r="F170" s="4">
        <v>3</v>
      </c>
      <c r="G170" s="4">
        <v>12</v>
      </c>
      <c r="H170" s="4">
        <v>9</v>
      </c>
      <c r="I170" s="4">
        <v>7</v>
      </c>
      <c r="J170" s="4">
        <v>160000</v>
      </c>
      <c r="K170" s="4"/>
      <c r="L170" s="4"/>
      <c r="M170" s="5">
        <f t="shared" si="30"/>
        <v>0.75</v>
      </c>
      <c r="N170" s="5">
        <f t="shared" si="31"/>
        <v>4</v>
      </c>
      <c r="O170" s="5">
        <f t="shared" si="32"/>
        <v>0.77777777777777779</v>
      </c>
      <c r="P170" s="3">
        <f t="shared" si="33"/>
        <v>118355.0889141129</v>
      </c>
      <c r="Q170" s="6">
        <f t="shared" si="34"/>
        <v>1.3518641358641341</v>
      </c>
    </row>
    <row r="171" spans="1:17" x14ac:dyDescent="0.4">
      <c r="A171" s="2">
        <v>46030</v>
      </c>
      <c r="B171" s="1" t="s">
        <v>11</v>
      </c>
      <c r="C171" s="1" t="s">
        <v>12</v>
      </c>
      <c r="D171" s="1" t="s">
        <v>32</v>
      </c>
      <c r="E171" s="7">
        <v>248120.30075187972</v>
      </c>
      <c r="F171" s="4">
        <v>6</v>
      </c>
      <c r="G171" s="4">
        <v>4</v>
      </c>
      <c r="H171" s="4">
        <v>2</v>
      </c>
      <c r="I171" s="4">
        <v>1</v>
      </c>
      <c r="J171" s="4">
        <v>30000</v>
      </c>
      <c r="K171" s="4"/>
      <c r="L171" s="4"/>
      <c r="M171" s="5">
        <f t="shared" si="30"/>
        <v>0.5</v>
      </c>
      <c r="N171" s="5">
        <f t="shared" si="31"/>
        <v>0.66666666666666663</v>
      </c>
      <c r="O171" s="5">
        <f t="shared" si="32"/>
        <v>0.5</v>
      </c>
      <c r="P171" s="3">
        <f t="shared" si="33"/>
        <v>62030.075187969931</v>
      </c>
      <c r="Q171" s="6">
        <f t="shared" si="34"/>
        <v>1.4509090909090907</v>
      </c>
    </row>
    <row r="172" spans="1:17" x14ac:dyDescent="0.4">
      <c r="A172" s="2">
        <v>46030</v>
      </c>
      <c r="B172" s="1" t="s">
        <v>17</v>
      </c>
      <c r="C172" s="1" t="s">
        <v>18</v>
      </c>
      <c r="D172" s="1" t="s">
        <v>53</v>
      </c>
      <c r="E172" s="7">
        <v>177419.35483870967</v>
      </c>
      <c r="F172" s="4">
        <v>4</v>
      </c>
      <c r="G172" s="4"/>
      <c r="H172" s="4"/>
      <c r="I172" s="4"/>
      <c r="J172" s="4"/>
      <c r="K172" s="4"/>
      <c r="L172" s="4"/>
      <c r="M172" s="5">
        <f t="shared" si="30"/>
        <v>0</v>
      </c>
      <c r="N172" s="5">
        <f t="shared" si="31"/>
        <v>0</v>
      </c>
      <c r="O172" s="5">
        <f t="shared" si="32"/>
        <v>0</v>
      </c>
      <c r="P172" s="3">
        <f t="shared" si="33"/>
        <v>0</v>
      </c>
      <c r="Q172" s="6">
        <f t="shared" si="34"/>
        <v>0</v>
      </c>
    </row>
    <row r="173" spans="1:17" x14ac:dyDescent="0.4">
      <c r="A173" s="2">
        <v>46030</v>
      </c>
      <c r="B173" s="1" t="s">
        <v>25</v>
      </c>
      <c r="C173" s="1" t="s">
        <v>35</v>
      </c>
      <c r="D173" s="1" t="s">
        <v>32</v>
      </c>
      <c r="E173" s="7">
        <v>0</v>
      </c>
      <c r="F173" s="4">
        <v>5</v>
      </c>
      <c r="G173" s="4">
        <v>1</v>
      </c>
      <c r="H173" s="4"/>
      <c r="I173" s="4">
        <v>1</v>
      </c>
      <c r="J173" s="4">
        <v>20000</v>
      </c>
      <c r="K173" s="4"/>
      <c r="L173" s="4"/>
      <c r="M173" s="5">
        <f t="shared" si="30"/>
        <v>0</v>
      </c>
      <c r="N173" s="5">
        <f t="shared" si="31"/>
        <v>0.2</v>
      </c>
      <c r="O173" s="5">
        <f t="shared" si="32"/>
        <v>0</v>
      </c>
      <c r="P173" s="3">
        <f t="shared" si="33"/>
        <v>0</v>
      </c>
      <c r="Q173" s="6">
        <f t="shared" si="34"/>
        <v>0</v>
      </c>
    </row>
    <row r="174" spans="1:17" x14ac:dyDescent="0.4">
      <c r="A174" s="2">
        <v>46030</v>
      </c>
      <c r="B174" s="1" t="s">
        <v>24</v>
      </c>
      <c r="C174" s="1" t="s">
        <v>6</v>
      </c>
      <c r="D174" s="1" t="s">
        <v>69</v>
      </c>
      <c r="E174" s="7">
        <v>153956</v>
      </c>
      <c r="F174" s="4">
        <v>4</v>
      </c>
      <c r="G174" s="4">
        <v>2</v>
      </c>
      <c r="H174" s="4">
        <v>1</v>
      </c>
      <c r="I174" s="4" t="s">
        <v>68</v>
      </c>
      <c r="J174" s="4" t="s">
        <v>68</v>
      </c>
      <c r="K174" s="4" t="s">
        <v>68</v>
      </c>
      <c r="L174" s="4" t="s">
        <v>68</v>
      </c>
      <c r="M174" s="5">
        <f t="shared" si="30"/>
        <v>0.5</v>
      </c>
      <c r="N174" s="5">
        <f t="shared" si="31"/>
        <v>0.5</v>
      </c>
      <c r="O174" s="5">
        <f t="shared" si="32"/>
        <v>0</v>
      </c>
      <c r="P174" s="3">
        <f t="shared" si="33"/>
        <v>76978</v>
      </c>
      <c r="Q174" s="6">
        <f t="shared" si="34"/>
        <v>0</v>
      </c>
    </row>
    <row r="175" spans="1:17" x14ac:dyDescent="0.4">
      <c r="A175" s="2">
        <v>46030</v>
      </c>
      <c r="B175" s="1" t="s">
        <v>9</v>
      </c>
      <c r="C175" s="1" t="s">
        <v>6</v>
      </c>
      <c r="D175" s="1" t="s">
        <v>70</v>
      </c>
      <c r="E175" s="7">
        <v>346401</v>
      </c>
      <c r="F175" s="4">
        <v>9</v>
      </c>
      <c r="G175" s="4">
        <v>1</v>
      </c>
      <c r="H175" s="4">
        <v>1</v>
      </c>
      <c r="I175" s="4">
        <v>1</v>
      </c>
      <c r="J175" s="4">
        <v>30000</v>
      </c>
      <c r="K175" s="4" t="s">
        <v>68</v>
      </c>
      <c r="L175" s="4" t="s">
        <v>68</v>
      </c>
      <c r="M175" s="5">
        <f t="shared" si="30"/>
        <v>1</v>
      </c>
      <c r="N175" s="5">
        <f t="shared" si="31"/>
        <v>0.1111111111111111</v>
      </c>
      <c r="O175" s="5">
        <f t="shared" si="32"/>
        <v>1</v>
      </c>
      <c r="P175" s="3">
        <f t="shared" si="33"/>
        <v>346401</v>
      </c>
      <c r="Q175" s="6">
        <f t="shared" si="34"/>
        <v>1.0392579698095559</v>
      </c>
    </row>
    <row r="176" spans="1:17" x14ac:dyDescent="0.4">
      <c r="A176" s="2">
        <v>46030</v>
      </c>
      <c r="B176" s="1" t="s">
        <v>15</v>
      </c>
      <c r="C176" s="1" t="s">
        <v>6</v>
      </c>
      <c r="D176" s="1" t="s">
        <v>44</v>
      </c>
      <c r="E176" s="7">
        <v>346401</v>
      </c>
      <c r="F176" s="4">
        <v>9</v>
      </c>
      <c r="G176" s="4">
        <v>1</v>
      </c>
      <c r="H176" s="4">
        <v>1</v>
      </c>
      <c r="I176" s="4">
        <v>1</v>
      </c>
      <c r="J176" s="4">
        <v>30000</v>
      </c>
      <c r="K176" s="4" t="s">
        <v>68</v>
      </c>
      <c r="L176" s="4" t="s">
        <v>68</v>
      </c>
      <c r="M176" s="5">
        <f t="shared" si="30"/>
        <v>1</v>
      </c>
      <c r="N176" s="5">
        <f t="shared" si="31"/>
        <v>0.1111111111111111</v>
      </c>
      <c r="O176" s="5">
        <f t="shared" si="32"/>
        <v>1</v>
      </c>
      <c r="P176" s="3">
        <f t="shared" si="33"/>
        <v>346401</v>
      </c>
      <c r="Q176" s="6">
        <f t="shared" si="34"/>
        <v>1.0392579698095559</v>
      </c>
    </row>
    <row r="177" spans="1:17" x14ac:dyDescent="0.4">
      <c r="A177" s="2">
        <v>46030</v>
      </c>
      <c r="B177" s="1" t="s">
        <v>10</v>
      </c>
      <c r="C177" s="1" t="s">
        <v>6</v>
      </c>
      <c r="D177" s="1" t="s">
        <v>33</v>
      </c>
      <c r="E177" s="7">
        <v>192445</v>
      </c>
      <c r="F177" s="4">
        <v>5</v>
      </c>
      <c r="G177" s="4">
        <v>4</v>
      </c>
      <c r="H177" s="4">
        <v>2</v>
      </c>
      <c r="I177" s="4">
        <v>1</v>
      </c>
      <c r="J177" s="4">
        <v>20000</v>
      </c>
      <c r="K177" s="4" t="s">
        <v>68</v>
      </c>
      <c r="L177" s="4" t="s">
        <v>68</v>
      </c>
      <c r="M177" s="5">
        <f t="shared" si="30"/>
        <v>0.5</v>
      </c>
      <c r="N177" s="5">
        <f t="shared" si="31"/>
        <v>0.8</v>
      </c>
      <c r="O177" s="5">
        <f t="shared" si="32"/>
        <v>0.5</v>
      </c>
      <c r="P177" s="3">
        <f t="shared" si="33"/>
        <v>48111.25</v>
      </c>
      <c r="Q177" s="6">
        <f t="shared" si="34"/>
        <v>1.2471095637714671</v>
      </c>
    </row>
    <row r="178" spans="1:17" x14ac:dyDescent="0.4">
      <c r="A178" s="2">
        <v>46030</v>
      </c>
      <c r="B178" s="1" t="s">
        <v>74</v>
      </c>
      <c r="C178" s="1" t="s">
        <v>6</v>
      </c>
      <c r="D178" s="1" t="s">
        <v>71</v>
      </c>
      <c r="E178" s="7">
        <v>153956</v>
      </c>
      <c r="F178" s="4">
        <v>4</v>
      </c>
      <c r="G178" s="4">
        <v>1</v>
      </c>
      <c r="H178" s="4">
        <v>1</v>
      </c>
      <c r="I178" s="4" t="s">
        <v>68</v>
      </c>
      <c r="J178" s="4" t="s">
        <v>68</v>
      </c>
      <c r="K178" s="4" t="s">
        <v>68</v>
      </c>
      <c r="L178" s="4" t="s">
        <v>68</v>
      </c>
      <c r="M178" s="5">
        <f t="shared" si="30"/>
        <v>1</v>
      </c>
      <c r="N178" s="5">
        <f t="shared" si="31"/>
        <v>0.25</v>
      </c>
      <c r="O178" s="5">
        <f t="shared" si="32"/>
        <v>0</v>
      </c>
      <c r="P178" s="3">
        <f t="shared" si="33"/>
        <v>153956</v>
      </c>
      <c r="Q178" s="6">
        <f t="shared" si="34"/>
        <v>0</v>
      </c>
    </row>
    <row r="179" spans="1:17" x14ac:dyDescent="0.4">
      <c r="A179" s="2">
        <v>46030</v>
      </c>
      <c r="B179" s="1" t="s">
        <v>75</v>
      </c>
      <c r="C179" s="1" t="s">
        <v>6</v>
      </c>
      <c r="D179" s="1" t="s">
        <v>72</v>
      </c>
      <c r="E179" s="7">
        <v>192445</v>
      </c>
      <c r="F179" s="4">
        <v>5</v>
      </c>
      <c r="G179" s="4" t="s">
        <v>68</v>
      </c>
      <c r="H179" s="4" t="s">
        <v>68</v>
      </c>
      <c r="I179" s="4" t="s">
        <v>68</v>
      </c>
      <c r="J179" s="4" t="s">
        <v>68</v>
      </c>
      <c r="K179" s="4" t="s">
        <v>68</v>
      </c>
      <c r="L179" s="4" t="s">
        <v>68</v>
      </c>
      <c r="M179" s="5">
        <f t="shared" si="30"/>
        <v>0</v>
      </c>
      <c r="N179" s="5">
        <f t="shared" si="31"/>
        <v>0</v>
      </c>
      <c r="O179" s="5">
        <f t="shared" si="32"/>
        <v>0</v>
      </c>
      <c r="P179" s="3">
        <f t="shared" si="33"/>
        <v>0</v>
      </c>
      <c r="Q179" s="6">
        <f t="shared" si="34"/>
        <v>0</v>
      </c>
    </row>
    <row r="180" spans="1:17" x14ac:dyDescent="0.4">
      <c r="A180" s="2">
        <v>46030</v>
      </c>
      <c r="B180" s="1" t="s">
        <v>76</v>
      </c>
      <c r="C180" s="1" t="s">
        <v>6</v>
      </c>
      <c r="D180" s="1" t="s">
        <v>73</v>
      </c>
      <c r="E180" s="7">
        <v>192445</v>
      </c>
      <c r="F180" s="4">
        <v>5</v>
      </c>
      <c r="G180" s="4" t="s">
        <v>68</v>
      </c>
      <c r="H180" s="4" t="s">
        <v>68</v>
      </c>
      <c r="I180" s="4" t="s">
        <v>68</v>
      </c>
      <c r="J180" s="4" t="s">
        <v>68</v>
      </c>
      <c r="K180" s="4" t="s">
        <v>68</v>
      </c>
      <c r="L180" s="4" t="s">
        <v>68</v>
      </c>
      <c r="M180" s="5">
        <f t="shared" si="30"/>
        <v>0</v>
      </c>
      <c r="N180" s="5">
        <f t="shared" si="31"/>
        <v>0</v>
      </c>
      <c r="O180" s="5">
        <f t="shared" si="32"/>
        <v>0</v>
      </c>
      <c r="P180" s="3">
        <f t="shared" si="33"/>
        <v>0</v>
      </c>
      <c r="Q180" s="6">
        <f t="shared" si="34"/>
        <v>0</v>
      </c>
    </row>
    <row r="181" spans="1:17" x14ac:dyDescent="0.4">
      <c r="A181" s="2">
        <v>46030</v>
      </c>
      <c r="B181" s="1" t="s">
        <v>5</v>
      </c>
      <c r="C181" s="1" t="s">
        <v>6</v>
      </c>
      <c r="D181" s="1" t="s">
        <v>52</v>
      </c>
      <c r="E181" s="7">
        <v>153956</v>
      </c>
      <c r="F181" s="4">
        <v>4</v>
      </c>
      <c r="G181" s="4" t="s">
        <v>68</v>
      </c>
      <c r="H181" s="4" t="s">
        <v>68</v>
      </c>
      <c r="I181" s="4" t="s">
        <v>68</v>
      </c>
      <c r="J181" s="4" t="s">
        <v>68</v>
      </c>
      <c r="K181" s="4" t="s">
        <v>68</v>
      </c>
      <c r="L181" s="4" t="s">
        <v>68</v>
      </c>
      <c r="M181" s="5">
        <f t="shared" si="30"/>
        <v>0</v>
      </c>
      <c r="N181" s="5">
        <f t="shared" si="31"/>
        <v>0</v>
      </c>
      <c r="O181" s="5">
        <f t="shared" si="32"/>
        <v>0</v>
      </c>
      <c r="P181" s="3">
        <f t="shared" si="33"/>
        <v>0</v>
      </c>
      <c r="Q181" s="6">
        <f t="shared" si="34"/>
        <v>0</v>
      </c>
    </row>
    <row r="182" spans="1:17" x14ac:dyDescent="0.4">
      <c r="A182" s="2">
        <v>46030</v>
      </c>
      <c r="B182" s="1" t="s">
        <v>26</v>
      </c>
      <c r="C182" s="1" t="s">
        <v>36</v>
      </c>
      <c r="D182" s="1" t="s">
        <v>52</v>
      </c>
      <c r="E182" s="7">
        <v>0</v>
      </c>
      <c r="F182" s="4">
        <v>1</v>
      </c>
      <c r="G182" s="4"/>
      <c r="H182" s="4"/>
      <c r="I182" s="4"/>
      <c r="J182" s="4"/>
      <c r="K182" s="4"/>
      <c r="L182" s="4"/>
      <c r="M182" s="5">
        <f t="shared" si="30"/>
        <v>0</v>
      </c>
      <c r="N182" s="5">
        <f t="shared" si="31"/>
        <v>0</v>
      </c>
      <c r="O182" s="5">
        <f t="shared" si="32"/>
        <v>0</v>
      </c>
      <c r="P182" s="3">
        <f t="shared" si="33"/>
        <v>0</v>
      </c>
      <c r="Q182" s="6">
        <f t="shared" si="34"/>
        <v>0</v>
      </c>
    </row>
    <row r="183" spans="1:17" x14ac:dyDescent="0.4">
      <c r="A183" s="2">
        <v>46030</v>
      </c>
      <c r="B183" s="1" t="s">
        <v>51</v>
      </c>
      <c r="C183" s="1" t="s">
        <v>50</v>
      </c>
      <c r="D183" s="1" t="s">
        <v>54</v>
      </c>
      <c r="E183" s="7">
        <v>428571.42857142858</v>
      </c>
      <c r="F183" s="4">
        <v>3</v>
      </c>
      <c r="G183" s="4">
        <v>12</v>
      </c>
      <c r="H183" s="4">
        <v>7</v>
      </c>
      <c r="I183" s="4">
        <v>2</v>
      </c>
      <c r="J183" s="4">
        <v>50000</v>
      </c>
      <c r="K183" s="4">
        <v>3</v>
      </c>
      <c r="L183" s="4">
        <v>60000</v>
      </c>
      <c r="M183" s="5">
        <f t="shared" si="30"/>
        <v>0.58333333333333337</v>
      </c>
      <c r="N183" s="5">
        <f t="shared" si="31"/>
        <v>4</v>
      </c>
      <c r="O183" s="5">
        <f t="shared" si="32"/>
        <v>0.2857142857142857</v>
      </c>
      <c r="P183" s="3">
        <f t="shared" si="33"/>
        <v>35714.285714285717</v>
      </c>
      <c r="Q183" s="6">
        <f t="shared" si="34"/>
        <v>1.4</v>
      </c>
    </row>
    <row r="184" spans="1:17" x14ac:dyDescent="0.4">
      <c r="A184" s="2">
        <v>46030</v>
      </c>
      <c r="B184" s="1" t="s">
        <v>56</v>
      </c>
      <c r="C184" s="1" t="s">
        <v>57</v>
      </c>
      <c r="D184" s="1" t="s">
        <v>59</v>
      </c>
      <c r="E184" s="7">
        <v>122222.22222222223</v>
      </c>
      <c r="F184" s="4">
        <v>4</v>
      </c>
      <c r="G184" s="4"/>
      <c r="H184" s="4"/>
      <c r="I184" s="4"/>
      <c r="J184" s="4"/>
      <c r="K184" s="4"/>
      <c r="L184" s="4"/>
      <c r="M184" s="5">
        <f t="shared" si="30"/>
        <v>0</v>
      </c>
      <c r="N184" s="5">
        <f t="shared" si="31"/>
        <v>0</v>
      </c>
      <c r="O184" s="5">
        <f t="shared" si="32"/>
        <v>0</v>
      </c>
      <c r="P184" s="3">
        <f t="shared" si="33"/>
        <v>0</v>
      </c>
      <c r="Q184" s="6">
        <f t="shared" si="34"/>
        <v>0</v>
      </c>
    </row>
    <row r="185" spans="1:17" x14ac:dyDescent="0.4">
      <c r="A185" s="2">
        <v>46030</v>
      </c>
      <c r="B185" s="1" t="s">
        <v>16</v>
      </c>
      <c r="C185" s="1" t="s">
        <v>58</v>
      </c>
      <c r="D185" s="1" t="s">
        <v>53</v>
      </c>
      <c r="E185" s="7">
        <v>206250.00000000003</v>
      </c>
      <c r="F185" s="4">
        <v>3</v>
      </c>
      <c r="G185" s="4">
        <v>1</v>
      </c>
      <c r="H185" s="4"/>
      <c r="I185" s="4"/>
      <c r="J185" s="4"/>
      <c r="K185" s="4"/>
      <c r="L185" s="4"/>
      <c r="M185" s="5">
        <f t="shared" si="30"/>
        <v>0</v>
      </c>
      <c r="N185" s="5">
        <f t="shared" si="31"/>
        <v>0.33333333333333331</v>
      </c>
      <c r="O185" s="5">
        <f t="shared" si="32"/>
        <v>0</v>
      </c>
      <c r="P185" s="3">
        <f t="shared" si="33"/>
        <v>206250.00000000003</v>
      </c>
      <c r="Q185" s="6">
        <f t="shared" si="34"/>
        <v>0</v>
      </c>
    </row>
    <row r="186" spans="1:17" x14ac:dyDescent="0.4">
      <c r="A186" s="2">
        <v>46030</v>
      </c>
      <c r="B186" s="1" t="s">
        <v>19</v>
      </c>
      <c r="C186" s="1" t="s">
        <v>20</v>
      </c>
      <c r="D186" s="1" t="s">
        <v>34</v>
      </c>
      <c r="E186" s="7">
        <v>148226.95035460993</v>
      </c>
      <c r="F186" s="4">
        <v>3</v>
      </c>
      <c r="G186" s="4"/>
      <c r="H186" s="4"/>
      <c r="I186" s="4"/>
      <c r="J186" s="4"/>
      <c r="K186" s="4"/>
      <c r="L186" s="4"/>
      <c r="M186" s="5">
        <f t="shared" si="30"/>
        <v>0</v>
      </c>
      <c r="N186" s="5">
        <f t="shared" si="31"/>
        <v>0</v>
      </c>
      <c r="O186" s="5">
        <f t="shared" si="32"/>
        <v>0</v>
      </c>
      <c r="P186" s="3">
        <f t="shared" si="33"/>
        <v>0</v>
      </c>
      <c r="Q186" s="6">
        <f t="shared" si="34"/>
        <v>0</v>
      </c>
    </row>
    <row r="187" spans="1:17" x14ac:dyDescent="0.4">
      <c r="A187" s="2">
        <v>46030</v>
      </c>
      <c r="B187" s="1" t="s">
        <v>23</v>
      </c>
      <c r="C187" s="1" t="s">
        <v>37</v>
      </c>
      <c r="D187" s="1" t="s">
        <v>32</v>
      </c>
      <c r="E187" s="7">
        <v>0</v>
      </c>
      <c r="F187" s="4">
        <v>7</v>
      </c>
      <c r="G187" s="4"/>
      <c r="H187" s="4"/>
      <c r="I187" s="4"/>
      <c r="J187" s="4"/>
      <c r="K187" s="4"/>
      <c r="L187" s="4"/>
      <c r="M187" s="5">
        <f t="shared" si="30"/>
        <v>0</v>
      </c>
      <c r="N187" s="5">
        <f t="shared" si="31"/>
        <v>0</v>
      </c>
      <c r="O187" s="5">
        <f t="shared" si="32"/>
        <v>0</v>
      </c>
      <c r="P187" s="3">
        <f t="shared" si="33"/>
        <v>0</v>
      </c>
      <c r="Q187" s="6">
        <f t="shared" si="34"/>
        <v>0</v>
      </c>
    </row>
    <row r="188" spans="1:17" x14ac:dyDescent="0.4">
      <c r="A188" s="2">
        <v>46030</v>
      </c>
      <c r="B188" s="1" t="s">
        <v>21</v>
      </c>
      <c r="C188" s="1" t="s">
        <v>22</v>
      </c>
      <c r="D188" s="1" t="s">
        <v>32</v>
      </c>
      <c r="E188" s="7">
        <v>283870.96774193551</v>
      </c>
      <c r="F188" s="4">
        <v>9</v>
      </c>
      <c r="G188" s="4">
        <v>4</v>
      </c>
      <c r="H188" s="4">
        <v>3</v>
      </c>
      <c r="I188" s="4">
        <v>2</v>
      </c>
      <c r="J188" s="4">
        <v>45000</v>
      </c>
      <c r="K188" s="4">
        <v>1</v>
      </c>
      <c r="L188" s="4">
        <v>20000</v>
      </c>
      <c r="M188" s="5">
        <f t="shared" si="30"/>
        <v>0.75</v>
      </c>
      <c r="N188" s="5">
        <f t="shared" si="31"/>
        <v>0.44444444444444442</v>
      </c>
      <c r="O188" s="5">
        <f t="shared" si="32"/>
        <v>0.66666666666666663</v>
      </c>
      <c r="P188" s="3">
        <f t="shared" si="33"/>
        <v>70967.741935483878</v>
      </c>
      <c r="Q188" s="6">
        <f t="shared" si="34"/>
        <v>1.9022727272727271</v>
      </c>
    </row>
    <row r="189" spans="1:17" x14ac:dyDescent="0.4">
      <c r="A189" s="2">
        <v>46030</v>
      </c>
      <c r="B189" s="1" t="s">
        <v>60</v>
      </c>
      <c r="C189" s="1" t="s">
        <v>63</v>
      </c>
      <c r="D189" s="1" t="s">
        <v>53</v>
      </c>
      <c r="E189" s="7">
        <v>225409.83606557379</v>
      </c>
      <c r="F189" s="4">
        <v>4</v>
      </c>
      <c r="G189" s="4"/>
      <c r="H189" s="4"/>
      <c r="I189" s="4"/>
      <c r="J189" s="4"/>
      <c r="K189" s="4"/>
      <c r="L189" s="4"/>
      <c r="M189" s="5">
        <f t="shared" si="30"/>
        <v>0</v>
      </c>
      <c r="N189" s="5">
        <f t="shared" si="31"/>
        <v>0</v>
      </c>
      <c r="O189" s="5">
        <f t="shared" si="32"/>
        <v>0</v>
      </c>
      <c r="P189" s="3">
        <f t="shared" si="33"/>
        <v>0</v>
      </c>
      <c r="Q189" s="6">
        <f t="shared" si="34"/>
        <v>0</v>
      </c>
    </row>
    <row r="190" spans="1:17" x14ac:dyDescent="0.4">
      <c r="A190" s="2">
        <v>46030</v>
      </c>
      <c r="B190" s="1" t="s">
        <v>61</v>
      </c>
      <c r="C190" s="1" t="s">
        <v>64</v>
      </c>
      <c r="D190" s="1" t="s">
        <v>66</v>
      </c>
      <c r="E190" s="7">
        <v>0</v>
      </c>
      <c r="F190" s="4">
        <v>8</v>
      </c>
      <c r="G190" s="4"/>
      <c r="H190" s="4"/>
      <c r="I190" s="4"/>
      <c r="J190" s="4"/>
      <c r="K190" s="4"/>
      <c r="L190" s="4"/>
      <c r="M190" s="5">
        <f t="shared" si="30"/>
        <v>0</v>
      </c>
      <c r="N190" s="5">
        <f t="shared" si="31"/>
        <v>0</v>
      </c>
      <c r="O190" s="5">
        <f t="shared" si="32"/>
        <v>0</v>
      </c>
      <c r="P190" s="3">
        <f t="shared" si="33"/>
        <v>0</v>
      </c>
      <c r="Q190" s="6">
        <f t="shared" si="34"/>
        <v>0</v>
      </c>
    </row>
    <row r="191" spans="1:17" x14ac:dyDescent="0.4">
      <c r="A191" s="2">
        <v>46030</v>
      </c>
      <c r="B191" s="1" t="s">
        <v>62</v>
      </c>
      <c r="C191" s="1" t="s">
        <v>65</v>
      </c>
      <c r="D191" s="1" t="s">
        <v>67</v>
      </c>
      <c r="E191" s="7">
        <v>264423.07692307699</v>
      </c>
      <c r="F191" s="4">
        <v>2</v>
      </c>
      <c r="G191" s="4">
        <v>3</v>
      </c>
      <c r="H191" s="4">
        <v>1</v>
      </c>
      <c r="I191" s="4">
        <v>1</v>
      </c>
      <c r="J191" s="4">
        <v>20000</v>
      </c>
      <c r="K191" s="4"/>
      <c r="L191" s="4"/>
      <c r="M191" s="5">
        <f t="shared" si="30"/>
        <v>0.33333333333333331</v>
      </c>
      <c r="N191" s="5">
        <f t="shared" si="31"/>
        <v>1.5</v>
      </c>
      <c r="O191" s="5">
        <f t="shared" si="32"/>
        <v>1</v>
      </c>
      <c r="P191" s="3">
        <f t="shared" si="33"/>
        <v>88141.02564102567</v>
      </c>
      <c r="Q191" s="6">
        <f t="shared" si="34"/>
        <v>0.90763636363636335</v>
      </c>
    </row>
    <row r="192" spans="1:17" x14ac:dyDescent="0.4">
      <c r="A192" s="2">
        <v>46030</v>
      </c>
      <c r="B192" s="1" t="s">
        <v>42</v>
      </c>
      <c r="C192" s="1" t="s">
        <v>38</v>
      </c>
      <c r="D192" s="1" t="s">
        <v>42</v>
      </c>
      <c r="E192" s="7">
        <v>0</v>
      </c>
      <c r="F192" s="4">
        <v>0</v>
      </c>
      <c r="G192" s="4"/>
      <c r="H192" s="4"/>
      <c r="I192" s="4"/>
      <c r="J192" s="4"/>
      <c r="K192" s="4"/>
      <c r="L192" s="4"/>
      <c r="M192" s="5">
        <f t="shared" si="30"/>
        <v>0</v>
      </c>
      <c r="N192" s="5">
        <f t="shared" si="31"/>
        <v>0</v>
      </c>
      <c r="O192" s="5">
        <f t="shared" si="32"/>
        <v>0</v>
      </c>
      <c r="P192" s="3">
        <f t="shared" si="33"/>
        <v>0</v>
      </c>
      <c r="Q192" s="6">
        <f t="shared" si="34"/>
        <v>0</v>
      </c>
    </row>
    <row r="193" spans="1:17" x14ac:dyDescent="0.4">
      <c r="A193" s="2">
        <v>46030</v>
      </c>
      <c r="B193" s="1" t="s">
        <v>7</v>
      </c>
      <c r="C193" s="1" t="s">
        <v>8</v>
      </c>
      <c r="D193" s="1" t="s">
        <v>42</v>
      </c>
      <c r="E193" s="7">
        <v>0</v>
      </c>
      <c r="F193" s="4">
        <v>0</v>
      </c>
      <c r="G193" s="3">
        <v>6</v>
      </c>
      <c r="H193" s="3">
        <v>3</v>
      </c>
      <c r="I193" s="3"/>
      <c r="J193" s="3"/>
      <c r="K193" s="3"/>
      <c r="L193" s="3"/>
      <c r="M193" s="5">
        <f t="shared" si="30"/>
        <v>0.5</v>
      </c>
      <c r="N193" s="5">
        <f t="shared" si="31"/>
        <v>0</v>
      </c>
      <c r="O193" s="5">
        <f t="shared" si="32"/>
        <v>0</v>
      </c>
      <c r="P193" s="3">
        <f t="shared" si="33"/>
        <v>0</v>
      </c>
      <c r="Q193" s="6">
        <f t="shared" si="34"/>
        <v>0</v>
      </c>
    </row>
    <row r="194" spans="1:17" x14ac:dyDescent="0.4">
      <c r="A194" s="2">
        <v>46031</v>
      </c>
      <c r="B194" s="1" t="s">
        <v>13</v>
      </c>
      <c r="C194" s="1" t="s">
        <v>14</v>
      </c>
      <c r="D194" s="1" t="s">
        <v>31</v>
      </c>
      <c r="E194" s="7">
        <v>2032065.8342792308</v>
      </c>
      <c r="F194" s="4">
        <v>4</v>
      </c>
      <c r="G194" s="4">
        <v>9</v>
      </c>
      <c r="H194" s="4">
        <v>6</v>
      </c>
      <c r="I194" s="4">
        <v>3</v>
      </c>
      <c r="J194" s="4">
        <v>75000</v>
      </c>
      <c r="K194" s="4">
        <v>1</v>
      </c>
      <c r="L194" s="4">
        <v>20000</v>
      </c>
      <c r="M194" s="5">
        <f t="shared" si="30"/>
        <v>0.66666666666666663</v>
      </c>
      <c r="N194" s="5">
        <f t="shared" si="31"/>
        <v>2.25</v>
      </c>
      <c r="O194" s="5">
        <f t="shared" si="32"/>
        <v>0.5</v>
      </c>
      <c r="P194" s="3">
        <f t="shared" si="33"/>
        <v>225785.09269769231</v>
      </c>
      <c r="Q194" s="6">
        <f t="shared" si="34"/>
        <v>0.44289903644742296</v>
      </c>
    </row>
    <row r="195" spans="1:17" x14ac:dyDescent="0.4">
      <c r="A195" s="2">
        <v>46031</v>
      </c>
      <c r="B195" s="1" t="s">
        <v>11</v>
      </c>
      <c r="C195" s="1" t="s">
        <v>12</v>
      </c>
      <c r="D195" s="1" t="s">
        <v>32</v>
      </c>
      <c r="E195" s="7">
        <v>165413.53383458647</v>
      </c>
      <c r="F195" s="4">
        <v>4</v>
      </c>
      <c r="G195" s="4">
        <v>3</v>
      </c>
      <c r="H195" s="4">
        <v>3</v>
      </c>
      <c r="I195" s="4"/>
      <c r="J195" s="4"/>
      <c r="K195" s="4">
        <v>1</v>
      </c>
      <c r="L195" s="4">
        <v>20000</v>
      </c>
      <c r="M195" s="5">
        <f t="shared" si="30"/>
        <v>1</v>
      </c>
      <c r="N195" s="5">
        <f t="shared" si="31"/>
        <v>0.75</v>
      </c>
      <c r="O195" s="5">
        <f t="shared" si="32"/>
        <v>0</v>
      </c>
      <c r="P195" s="3">
        <f t="shared" si="33"/>
        <v>55137.844611528824</v>
      </c>
      <c r="Q195" s="6">
        <f t="shared" si="34"/>
        <v>0</v>
      </c>
    </row>
    <row r="196" spans="1:17" x14ac:dyDescent="0.4">
      <c r="A196" s="2">
        <v>46031</v>
      </c>
      <c r="B196" s="1" t="s">
        <v>17</v>
      </c>
      <c r="C196" s="1" t="s">
        <v>18</v>
      </c>
      <c r="D196" s="1" t="s">
        <v>53</v>
      </c>
      <c r="E196" s="7">
        <v>177419.35483870967</v>
      </c>
      <c r="F196" s="4">
        <v>4</v>
      </c>
      <c r="G196" s="4"/>
      <c r="H196" s="4"/>
      <c r="I196" s="4"/>
      <c r="J196" s="4"/>
      <c r="K196" s="4"/>
      <c r="L196" s="4"/>
      <c r="M196" s="5">
        <f t="shared" si="30"/>
        <v>0</v>
      </c>
      <c r="N196" s="5">
        <f t="shared" si="31"/>
        <v>0</v>
      </c>
      <c r="O196" s="5">
        <f t="shared" si="32"/>
        <v>0</v>
      </c>
      <c r="P196" s="3">
        <f t="shared" si="33"/>
        <v>0</v>
      </c>
      <c r="Q196" s="6">
        <f t="shared" si="34"/>
        <v>0</v>
      </c>
    </row>
    <row r="197" spans="1:17" x14ac:dyDescent="0.4">
      <c r="A197" s="2">
        <v>46031</v>
      </c>
      <c r="B197" s="1" t="s">
        <v>25</v>
      </c>
      <c r="C197" s="1" t="s">
        <v>35</v>
      </c>
      <c r="D197" s="1" t="s">
        <v>32</v>
      </c>
      <c r="E197" s="7">
        <v>0</v>
      </c>
      <c r="F197" s="4">
        <v>5</v>
      </c>
      <c r="G197" s="4"/>
      <c r="H197" s="4"/>
      <c r="I197" s="4"/>
      <c r="J197" s="4"/>
      <c r="K197" s="4"/>
      <c r="L197" s="4"/>
      <c r="M197" s="5">
        <f t="shared" si="30"/>
        <v>0</v>
      </c>
      <c r="N197" s="5">
        <f t="shared" si="31"/>
        <v>0</v>
      </c>
      <c r="O197" s="5">
        <f t="shared" si="32"/>
        <v>0</v>
      </c>
      <c r="P197" s="3">
        <f t="shared" si="33"/>
        <v>0</v>
      </c>
      <c r="Q197" s="6">
        <f t="shared" si="34"/>
        <v>0</v>
      </c>
    </row>
    <row r="198" spans="1:17" x14ac:dyDescent="0.4">
      <c r="A198" s="2">
        <v>46031</v>
      </c>
      <c r="B198" s="1" t="s">
        <v>24</v>
      </c>
      <c r="C198" s="1" t="s">
        <v>6</v>
      </c>
      <c r="D198" s="1" t="s">
        <v>69</v>
      </c>
      <c r="E198" s="7">
        <v>176735</v>
      </c>
      <c r="F198" s="4">
        <v>5</v>
      </c>
      <c r="G198" s="4" t="s">
        <v>68</v>
      </c>
      <c r="H198" s="4" t="s">
        <v>68</v>
      </c>
      <c r="I198" s="4" t="s">
        <v>68</v>
      </c>
      <c r="J198" s="4" t="s">
        <v>68</v>
      </c>
      <c r="K198" s="4" t="s">
        <v>68</v>
      </c>
      <c r="L198" s="4" t="s">
        <v>68</v>
      </c>
      <c r="M198" s="5">
        <f t="shared" si="30"/>
        <v>0</v>
      </c>
      <c r="N198" s="5">
        <f t="shared" si="31"/>
        <v>0</v>
      </c>
      <c r="O198" s="5">
        <f t="shared" si="32"/>
        <v>0</v>
      </c>
      <c r="P198" s="3">
        <f t="shared" si="33"/>
        <v>0</v>
      </c>
      <c r="Q198" s="6">
        <f t="shared" si="34"/>
        <v>0</v>
      </c>
    </row>
    <row r="199" spans="1:17" x14ac:dyDescent="0.4">
      <c r="A199" s="2">
        <v>46031</v>
      </c>
      <c r="B199" s="1" t="s">
        <v>9</v>
      </c>
      <c r="C199" s="1" t="s">
        <v>6</v>
      </c>
      <c r="D199" s="1" t="s">
        <v>70</v>
      </c>
      <c r="E199" s="7">
        <v>318123</v>
      </c>
      <c r="F199" s="4">
        <v>9</v>
      </c>
      <c r="G199" s="4">
        <v>2</v>
      </c>
      <c r="H199" s="4" t="s">
        <v>68</v>
      </c>
      <c r="I199" s="4" t="s">
        <v>68</v>
      </c>
      <c r="J199" s="4" t="s">
        <v>68</v>
      </c>
      <c r="K199" s="4" t="s">
        <v>68</v>
      </c>
      <c r="L199" s="4" t="s">
        <v>68</v>
      </c>
      <c r="M199" s="5">
        <f t="shared" si="30"/>
        <v>0</v>
      </c>
      <c r="N199" s="5">
        <f t="shared" si="31"/>
        <v>0.22222222222222221</v>
      </c>
      <c r="O199" s="5">
        <f t="shared" si="32"/>
        <v>0</v>
      </c>
      <c r="P199" s="3">
        <f t="shared" si="33"/>
        <v>159061.5</v>
      </c>
      <c r="Q199" s="6">
        <f t="shared" si="34"/>
        <v>0</v>
      </c>
    </row>
    <row r="200" spans="1:17" x14ac:dyDescent="0.4">
      <c r="A200" s="2">
        <v>46031</v>
      </c>
      <c r="B200" s="1" t="s">
        <v>15</v>
      </c>
      <c r="C200" s="1" t="s">
        <v>6</v>
      </c>
      <c r="D200" s="1" t="s">
        <v>44</v>
      </c>
      <c r="E200" s="7">
        <v>318123</v>
      </c>
      <c r="F200" s="4">
        <v>9</v>
      </c>
      <c r="G200" s="4">
        <v>1</v>
      </c>
      <c r="H200" s="4" t="s">
        <v>68</v>
      </c>
      <c r="I200" s="4" t="s">
        <v>68</v>
      </c>
      <c r="J200" s="4" t="s">
        <v>68</v>
      </c>
      <c r="K200" s="4" t="s">
        <v>68</v>
      </c>
      <c r="L200" s="4" t="s">
        <v>68</v>
      </c>
      <c r="M200" s="5">
        <f t="shared" si="30"/>
        <v>0</v>
      </c>
      <c r="N200" s="5">
        <f t="shared" si="31"/>
        <v>0.1111111111111111</v>
      </c>
      <c r="O200" s="5">
        <f t="shared" si="32"/>
        <v>0</v>
      </c>
      <c r="P200" s="3">
        <f t="shared" si="33"/>
        <v>318123</v>
      </c>
      <c r="Q200" s="6">
        <f t="shared" si="34"/>
        <v>0</v>
      </c>
    </row>
    <row r="201" spans="1:17" x14ac:dyDescent="0.4">
      <c r="A201" s="2">
        <v>46031</v>
      </c>
      <c r="B201" s="1" t="s">
        <v>10</v>
      </c>
      <c r="C201" s="1" t="s">
        <v>6</v>
      </c>
      <c r="D201" s="1" t="s">
        <v>33</v>
      </c>
      <c r="E201" s="7">
        <v>176735</v>
      </c>
      <c r="F201" s="4">
        <v>5</v>
      </c>
      <c r="G201" s="4">
        <v>2</v>
      </c>
      <c r="H201" s="4">
        <v>2</v>
      </c>
      <c r="I201" s="4">
        <v>1</v>
      </c>
      <c r="J201" s="4">
        <v>20000</v>
      </c>
      <c r="K201" s="4" t="s">
        <v>68</v>
      </c>
      <c r="L201" s="4" t="s">
        <v>68</v>
      </c>
      <c r="M201" s="5">
        <f t="shared" si="30"/>
        <v>1</v>
      </c>
      <c r="N201" s="5">
        <f t="shared" si="31"/>
        <v>0.4</v>
      </c>
      <c r="O201" s="5">
        <f t="shared" si="32"/>
        <v>0.5</v>
      </c>
      <c r="P201" s="3">
        <f t="shared" si="33"/>
        <v>88367.5</v>
      </c>
      <c r="Q201" s="6">
        <f t="shared" si="34"/>
        <v>1.3579653153025717</v>
      </c>
    </row>
    <row r="202" spans="1:17" x14ac:dyDescent="0.4">
      <c r="A202" s="2">
        <v>46031</v>
      </c>
      <c r="B202" s="1" t="s">
        <v>74</v>
      </c>
      <c r="C202" s="1" t="s">
        <v>6</v>
      </c>
      <c r="D202" s="1" t="s">
        <v>71</v>
      </c>
      <c r="E202" s="7">
        <v>176735</v>
      </c>
      <c r="F202" s="4">
        <v>5</v>
      </c>
      <c r="G202" s="4" t="s">
        <v>68</v>
      </c>
      <c r="H202" s="4" t="s">
        <v>68</v>
      </c>
      <c r="I202" s="4" t="s">
        <v>68</v>
      </c>
      <c r="J202" s="4" t="s">
        <v>68</v>
      </c>
      <c r="K202" s="4" t="s">
        <v>68</v>
      </c>
      <c r="L202" s="4" t="s">
        <v>68</v>
      </c>
      <c r="M202" s="5">
        <f t="shared" si="30"/>
        <v>0</v>
      </c>
      <c r="N202" s="5">
        <f t="shared" si="31"/>
        <v>0</v>
      </c>
      <c r="O202" s="5">
        <f t="shared" si="32"/>
        <v>0</v>
      </c>
      <c r="P202" s="3">
        <f t="shared" si="33"/>
        <v>0</v>
      </c>
      <c r="Q202" s="6">
        <f t="shared" si="34"/>
        <v>0</v>
      </c>
    </row>
    <row r="203" spans="1:17" x14ac:dyDescent="0.4">
      <c r="A203" s="2">
        <v>46031</v>
      </c>
      <c r="B203" s="1" t="s">
        <v>75</v>
      </c>
      <c r="C203" s="1" t="s">
        <v>6</v>
      </c>
      <c r="D203" s="1" t="s">
        <v>72</v>
      </c>
      <c r="E203" s="7">
        <v>176735</v>
      </c>
      <c r="F203" s="4">
        <v>5</v>
      </c>
      <c r="G203" s="4" t="s">
        <v>68</v>
      </c>
      <c r="H203" s="4" t="s">
        <v>68</v>
      </c>
      <c r="I203" s="4" t="s">
        <v>68</v>
      </c>
      <c r="J203" s="4" t="s">
        <v>68</v>
      </c>
      <c r="K203" s="4" t="s">
        <v>68</v>
      </c>
      <c r="L203" s="4" t="s">
        <v>68</v>
      </c>
      <c r="M203" s="5">
        <f t="shared" si="30"/>
        <v>0</v>
      </c>
      <c r="N203" s="5">
        <f t="shared" si="31"/>
        <v>0</v>
      </c>
      <c r="O203" s="5">
        <f t="shared" si="32"/>
        <v>0</v>
      </c>
      <c r="P203" s="3">
        <f t="shared" si="33"/>
        <v>0</v>
      </c>
      <c r="Q203" s="6">
        <f t="shared" si="34"/>
        <v>0</v>
      </c>
    </row>
    <row r="204" spans="1:17" x14ac:dyDescent="0.4">
      <c r="A204" s="2">
        <v>46031</v>
      </c>
      <c r="B204" s="1" t="s">
        <v>76</v>
      </c>
      <c r="C204" s="1" t="s">
        <v>6</v>
      </c>
      <c r="D204" s="1" t="s">
        <v>73</v>
      </c>
      <c r="E204" s="7">
        <v>141388</v>
      </c>
      <c r="F204" s="4">
        <v>4</v>
      </c>
      <c r="G204" s="4">
        <v>2</v>
      </c>
      <c r="H204" s="4">
        <v>1</v>
      </c>
      <c r="I204" s="4" t="s">
        <v>68</v>
      </c>
      <c r="J204" s="4" t="s">
        <v>68</v>
      </c>
      <c r="K204" s="4" t="s">
        <v>68</v>
      </c>
      <c r="L204" s="4" t="s">
        <v>68</v>
      </c>
      <c r="M204" s="5">
        <f t="shared" si="30"/>
        <v>0.5</v>
      </c>
      <c r="N204" s="5">
        <f t="shared" si="31"/>
        <v>0.5</v>
      </c>
      <c r="O204" s="5">
        <f t="shared" si="32"/>
        <v>0</v>
      </c>
      <c r="P204" s="3">
        <f t="shared" si="33"/>
        <v>70694</v>
      </c>
      <c r="Q204" s="6">
        <f t="shared" si="34"/>
        <v>0</v>
      </c>
    </row>
    <row r="205" spans="1:17" x14ac:dyDescent="0.4">
      <c r="A205" s="2">
        <v>46031</v>
      </c>
      <c r="B205" s="1" t="s">
        <v>5</v>
      </c>
      <c r="C205" s="1" t="s">
        <v>6</v>
      </c>
      <c r="D205" s="1" t="s">
        <v>52</v>
      </c>
      <c r="E205" s="7">
        <v>176735</v>
      </c>
      <c r="F205" s="4">
        <v>5</v>
      </c>
      <c r="G205" s="4">
        <v>2</v>
      </c>
      <c r="H205" s="4">
        <v>2</v>
      </c>
      <c r="I205" s="4">
        <v>1</v>
      </c>
      <c r="J205" s="4">
        <v>30000</v>
      </c>
      <c r="K205" s="4" t="s">
        <v>68</v>
      </c>
      <c r="L205" s="4" t="s">
        <v>68</v>
      </c>
      <c r="M205" s="5">
        <f t="shared" si="30"/>
        <v>1</v>
      </c>
      <c r="N205" s="5">
        <f t="shared" si="31"/>
        <v>0.4</v>
      </c>
      <c r="O205" s="5">
        <f t="shared" si="32"/>
        <v>0.5</v>
      </c>
      <c r="P205" s="3">
        <f t="shared" si="33"/>
        <v>88367.5</v>
      </c>
      <c r="Q205" s="6">
        <f t="shared" si="34"/>
        <v>2.0369479729538575</v>
      </c>
    </row>
    <row r="206" spans="1:17" x14ac:dyDescent="0.4">
      <c r="A206" s="2">
        <v>46031</v>
      </c>
      <c r="B206" s="1" t="s">
        <v>26</v>
      </c>
      <c r="C206" s="1" t="s">
        <v>36</v>
      </c>
      <c r="D206" s="1" t="s">
        <v>52</v>
      </c>
      <c r="E206" s="7">
        <v>0</v>
      </c>
      <c r="F206" s="4">
        <v>1</v>
      </c>
      <c r="G206" s="4"/>
      <c r="H206" s="4"/>
      <c r="I206" s="4"/>
      <c r="J206" s="4"/>
      <c r="K206" s="4"/>
      <c r="L206" s="4"/>
      <c r="M206" s="5">
        <f t="shared" si="30"/>
        <v>0</v>
      </c>
      <c r="N206" s="5">
        <f t="shared" si="31"/>
        <v>0</v>
      </c>
      <c r="O206" s="5">
        <f t="shared" si="32"/>
        <v>0</v>
      </c>
      <c r="P206" s="3">
        <f t="shared" si="33"/>
        <v>0</v>
      </c>
      <c r="Q206" s="6">
        <f t="shared" si="34"/>
        <v>0</v>
      </c>
    </row>
    <row r="207" spans="1:17" x14ac:dyDescent="0.4">
      <c r="A207" s="2">
        <v>46031</v>
      </c>
      <c r="B207" s="1" t="s">
        <v>51</v>
      </c>
      <c r="C207" s="1" t="s">
        <v>50</v>
      </c>
      <c r="D207" s="1" t="s">
        <v>54</v>
      </c>
      <c r="E207" s="7">
        <v>428571.42857142858</v>
      </c>
      <c r="F207" s="4">
        <v>3</v>
      </c>
      <c r="G207" s="4">
        <v>7</v>
      </c>
      <c r="H207" s="4">
        <v>5</v>
      </c>
      <c r="I207" s="4">
        <v>3</v>
      </c>
      <c r="J207" s="4">
        <v>80000</v>
      </c>
      <c r="K207" s="4"/>
      <c r="L207" s="4"/>
      <c r="M207" s="5">
        <f t="shared" si="30"/>
        <v>0.7142857142857143</v>
      </c>
      <c r="N207" s="5">
        <f t="shared" si="31"/>
        <v>2.3333333333333335</v>
      </c>
      <c r="O207" s="5">
        <f t="shared" si="32"/>
        <v>0.6</v>
      </c>
      <c r="P207" s="3">
        <f t="shared" si="33"/>
        <v>61224.489795918365</v>
      </c>
      <c r="Q207" s="6">
        <f t="shared" si="34"/>
        <v>2.2399999999999998</v>
      </c>
    </row>
    <row r="208" spans="1:17" x14ac:dyDescent="0.4">
      <c r="A208" s="2">
        <v>46031</v>
      </c>
      <c r="B208" s="1" t="s">
        <v>56</v>
      </c>
      <c r="C208" s="1" t="s">
        <v>57</v>
      </c>
      <c r="D208" s="1" t="s">
        <v>59</v>
      </c>
      <c r="E208" s="7">
        <v>229166.66666666666</v>
      </c>
      <c r="F208" s="4">
        <v>6</v>
      </c>
      <c r="G208" s="4">
        <v>1</v>
      </c>
      <c r="H208" s="4">
        <v>1</v>
      </c>
      <c r="I208" s="4"/>
      <c r="J208" s="4"/>
      <c r="K208" s="4">
        <v>1</v>
      </c>
      <c r="L208" s="4">
        <v>30000</v>
      </c>
      <c r="M208" s="5">
        <f t="shared" si="30"/>
        <v>1</v>
      </c>
      <c r="N208" s="5">
        <f t="shared" si="31"/>
        <v>0.16666666666666666</v>
      </c>
      <c r="O208" s="5">
        <f t="shared" si="32"/>
        <v>0</v>
      </c>
      <c r="P208" s="3">
        <f t="shared" si="33"/>
        <v>229166.66666666666</v>
      </c>
      <c r="Q208" s="6">
        <f t="shared" si="34"/>
        <v>0</v>
      </c>
    </row>
    <row r="209" spans="1:17" x14ac:dyDescent="0.4">
      <c r="A209" s="2">
        <v>46031</v>
      </c>
      <c r="B209" s="1" t="s">
        <v>16</v>
      </c>
      <c r="C209" s="1" t="s">
        <v>58</v>
      </c>
      <c r="D209" s="1" t="s">
        <v>53</v>
      </c>
      <c r="E209" s="7">
        <v>206250.00000000003</v>
      </c>
      <c r="F209" s="4">
        <v>3</v>
      </c>
      <c r="G209" s="4">
        <v>2</v>
      </c>
      <c r="H209" s="4">
        <v>1</v>
      </c>
      <c r="I209" s="4"/>
      <c r="J209" s="4"/>
      <c r="K209" s="4"/>
      <c r="L209" s="4"/>
      <c r="M209" s="5">
        <f t="shared" si="30"/>
        <v>0.5</v>
      </c>
      <c r="N209" s="5">
        <f t="shared" si="31"/>
        <v>0.66666666666666663</v>
      </c>
      <c r="O209" s="5">
        <f t="shared" si="32"/>
        <v>0</v>
      </c>
      <c r="P209" s="3">
        <f t="shared" si="33"/>
        <v>103125.00000000001</v>
      </c>
      <c r="Q209" s="6">
        <f t="shared" si="34"/>
        <v>0</v>
      </c>
    </row>
    <row r="210" spans="1:17" x14ac:dyDescent="0.4">
      <c r="A210" s="2">
        <v>46031</v>
      </c>
      <c r="B210" s="1" t="s">
        <v>19</v>
      </c>
      <c r="C210" s="1" t="s">
        <v>20</v>
      </c>
      <c r="D210" s="1" t="s">
        <v>34</v>
      </c>
      <c r="E210" s="7">
        <v>195035.46099290781</v>
      </c>
      <c r="F210" s="4">
        <v>4</v>
      </c>
      <c r="G210" s="4"/>
      <c r="H210" s="4"/>
      <c r="I210" s="4"/>
      <c r="J210" s="4"/>
      <c r="K210" s="4"/>
      <c r="L210" s="4"/>
      <c r="M210" s="5">
        <f t="shared" si="30"/>
        <v>0</v>
      </c>
      <c r="N210" s="5">
        <f t="shared" si="31"/>
        <v>0</v>
      </c>
      <c r="O210" s="5">
        <f t="shared" si="32"/>
        <v>0</v>
      </c>
      <c r="P210" s="3">
        <f t="shared" si="33"/>
        <v>0</v>
      </c>
      <c r="Q210" s="6">
        <f t="shared" si="34"/>
        <v>0</v>
      </c>
    </row>
    <row r="211" spans="1:17" x14ac:dyDescent="0.4">
      <c r="A211" s="2">
        <v>46031</v>
      </c>
      <c r="B211" s="1" t="s">
        <v>23</v>
      </c>
      <c r="C211" s="1" t="s">
        <v>37</v>
      </c>
      <c r="D211" s="1" t="s">
        <v>32</v>
      </c>
      <c r="E211" s="7">
        <v>0</v>
      </c>
      <c r="F211" s="4">
        <v>7</v>
      </c>
      <c r="G211" s="4"/>
      <c r="H211" s="4"/>
      <c r="I211" s="4"/>
      <c r="J211" s="4"/>
      <c r="K211" s="4"/>
      <c r="L211" s="4"/>
      <c r="M211" s="5">
        <f t="shared" si="30"/>
        <v>0</v>
      </c>
      <c r="N211" s="5">
        <f t="shared" si="31"/>
        <v>0</v>
      </c>
      <c r="O211" s="5">
        <f t="shared" si="32"/>
        <v>0</v>
      </c>
      <c r="P211" s="3">
        <f t="shared" si="33"/>
        <v>0</v>
      </c>
      <c r="Q211" s="6">
        <f t="shared" si="34"/>
        <v>0</v>
      </c>
    </row>
    <row r="212" spans="1:17" x14ac:dyDescent="0.4">
      <c r="A212" s="2">
        <v>46031</v>
      </c>
      <c r="B212" s="1" t="s">
        <v>21</v>
      </c>
      <c r="C212" s="1" t="s">
        <v>22</v>
      </c>
      <c r="D212" s="1" t="s">
        <v>32</v>
      </c>
      <c r="E212" s="7">
        <v>283870.96774193551</v>
      </c>
      <c r="F212" s="4">
        <v>9</v>
      </c>
      <c r="G212" s="4">
        <v>2</v>
      </c>
      <c r="H212" s="4">
        <v>1</v>
      </c>
      <c r="I212" s="4"/>
      <c r="J212" s="4"/>
      <c r="K212" s="4">
        <v>1</v>
      </c>
      <c r="L212" s="4">
        <v>20000</v>
      </c>
      <c r="M212" s="5">
        <f t="shared" si="30"/>
        <v>0.5</v>
      </c>
      <c r="N212" s="5">
        <f t="shared" si="31"/>
        <v>0.22222222222222221</v>
      </c>
      <c r="O212" s="5">
        <f t="shared" si="32"/>
        <v>0</v>
      </c>
      <c r="P212" s="3">
        <f t="shared" si="33"/>
        <v>141935.48387096776</v>
      </c>
      <c r="Q212" s="6">
        <f t="shared" si="34"/>
        <v>0</v>
      </c>
    </row>
    <row r="213" spans="1:17" x14ac:dyDescent="0.4">
      <c r="A213" s="2">
        <v>46031</v>
      </c>
      <c r="B213" s="1" t="s">
        <v>60</v>
      </c>
      <c r="C213" s="1" t="s">
        <v>63</v>
      </c>
      <c r="D213" s="1" t="s">
        <v>53</v>
      </c>
      <c r="E213" s="7">
        <v>225409.83606557379</v>
      </c>
      <c r="F213" s="4">
        <v>4</v>
      </c>
      <c r="G213" s="4"/>
      <c r="H213" s="4"/>
      <c r="I213" s="4"/>
      <c r="J213" s="4"/>
      <c r="K213" s="4"/>
      <c r="L213" s="4"/>
      <c r="M213" s="5">
        <f t="shared" si="30"/>
        <v>0</v>
      </c>
      <c r="N213" s="5">
        <f t="shared" si="31"/>
        <v>0</v>
      </c>
      <c r="O213" s="5">
        <f t="shared" si="32"/>
        <v>0</v>
      </c>
      <c r="P213" s="3">
        <f t="shared" si="33"/>
        <v>0</v>
      </c>
      <c r="Q213" s="6">
        <f t="shared" si="34"/>
        <v>0</v>
      </c>
    </row>
    <row r="214" spans="1:17" x14ac:dyDescent="0.4">
      <c r="A214" s="2">
        <v>46031</v>
      </c>
      <c r="B214" s="1" t="s">
        <v>61</v>
      </c>
      <c r="C214" s="1" t="s">
        <v>64</v>
      </c>
      <c r="D214" s="1" t="s">
        <v>66</v>
      </c>
      <c r="E214" s="7">
        <v>0</v>
      </c>
      <c r="F214" s="4">
        <v>8</v>
      </c>
      <c r="G214" s="4"/>
      <c r="H214" s="4"/>
      <c r="I214" s="4"/>
      <c r="J214" s="4"/>
      <c r="K214" s="4"/>
      <c r="L214" s="4"/>
      <c r="M214" s="5">
        <f t="shared" si="30"/>
        <v>0</v>
      </c>
      <c r="N214" s="5">
        <f t="shared" si="31"/>
        <v>0</v>
      </c>
      <c r="O214" s="5">
        <f t="shared" si="32"/>
        <v>0</v>
      </c>
      <c r="P214" s="3">
        <f t="shared" si="33"/>
        <v>0</v>
      </c>
      <c r="Q214" s="6">
        <f t="shared" si="34"/>
        <v>0</v>
      </c>
    </row>
    <row r="215" spans="1:17" x14ac:dyDescent="0.4">
      <c r="A215" s="2">
        <v>46031</v>
      </c>
      <c r="B215" s="1" t="s">
        <v>62</v>
      </c>
      <c r="C215" s="1" t="s">
        <v>65</v>
      </c>
      <c r="D215" s="1" t="s">
        <v>67</v>
      </c>
      <c r="E215" s="7">
        <v>264423.07692307699</v>
      </c>
      <c r="F215" s="4">
        <v>2</v>
      </c>
      <c r="G215" s="4">
        <v>3</v>
      </c>
      <c r="H215" s="4">
        <v>1</v>
      </c>
      <c r="I215" s="4">
        <v>2</v>
      </c>
      <c r="J215" s="4">
        <v>40000</v>
      </c>
      <c r="K215" s="4">
        <v>1</v>
      </c>
      <c r="L215" s="4">
        <v>50000</v>
      </c>
      <c r="M215" s="5">
        <f t="shared" si="30"/>
        <v>0.33333333333333331</v>
      </c>
      <c r="N215" s="5">
        <f t="shared" si="31"/>
        <v>1.5</v>
      </c>
      <c r="O215" s="5">
        <f t="shared" si="32"/>
        <v>2</v>
      </c>
      <c r="P215" s="3">
        <f t="shared" si="33"/>
        <v>88141.02564102567</v>
      </c>
      <c r="Q215" s="6">
        <f t="shared" si="34"/>
        <v>1.8152727272727267</v>
      </c>
    </row>
    <row r="216" spans="1:17" x14ac:dyDescent="0.4">
      <c r="A216" s="2">
        <v>46031</v>
      </c>
      <c r="B216" s="1" t="s">
        <v>42</v>
      </c>
      <c r="C216" s="1" t="s">
        <v>38</v>
      </c>
      <c r="D216" s="1" t="s">
        <v>42</v>
      </c>
      <c r="E216" s="7">
        <v>0</v>
      </c>
      <c r="F216" s="4">
        <v>0</v>
      </c>
      <c r="G216" s="4"/>
      <c r="H216" s="4"/>
      <c r="I216" s="4"/>
      <c r="J216" s="4"/>
      <c r="K216" s="4"/>
      <c r="L216" s="4"/>
      <c r="M216" s="5">
        <f t="shared" si="30"/>
        <v>0</v>
      </c>
      <c r="N216" s="5">
        <f t="shared" si="31"/>
        <v>0</v>
      </c>
      <c r="O216" s="5">
        <f t="shared" si="32"/>
        <v>0</v>
      </c>
      <c r="P216" s="3">
        <f t="shared" si="33"/>
        <v>0</v>
      </c>
      <c r="Q216" s="6">
        <f t="shared" si="34"/>
        <v>0</v>
      </c>
    </row>
    <row r="217" spans="1:17" x14ac:dyDescent="0.4">
      <c r="A217" s="2">
        <v>46031</v>
      </c>
      <c r="B217" s="1" t="s">
        <v>7</v>
      </c>
      <c r="C217" s="1" t="s">
        <v>8</v>
      </c>
      <c r="D217" s="1" t="s">
        <v>42</v>
      </c>
      <c r="E217" s="7">
        <v>0</v>
      </c>
      <c r="F217" s="4">
        <v>0</v>
      </c>
      <c r="G217" s="3">
        <v>5</v>
      </c>
      <c r="H217" s="3">
        <v>2</v>
      </c>
      <c r="I217" s="3"/>
      <c r="J217" s="3"/>
      <c r="K217" s="3"/>
      <c r="L217" s="3"/>
      <c r="M217" s="5">
        <f t="shared" si="30"/>
        <v>0.4</v>
      </c>
      <c r="N217" s="5">
        <f t="shared" si="31"/>
        <v>0</v>
      </c>
      <c r="O217" s="5">
        <f t="shared" si="32"/>
        <v>0</v>
      </c>
      <c r="P217" s="3">
        <f t="shared" si="33"/>
        <v>0</v>
      </c>
      <c r="Q217" s="6">
        <f t="shared" si="34"/>
        <v>0</v>
      </c>
    </row>
    <row r="218" spans="1:17" x14ac:dyDescent="0.4">
      <c r="A218" s="2">
        <v>46032</v>
      </c>
      <c r="B218" s="1" t="s">
        <v>13</v>
      </c>
      <c r="C218" s="1" t="s">
        <v>14</v>
      </c>
      <c r="D218" s="1" t="s">
        <v>31</v>
      </c>
      <c r="E218" s="7">
        <v>611804.76730987593</v>
      </c>
      <c r="F218" s="4">
        <v>1</v>
      </c>
      <c r="G218" s="4">
        <v>4</v>
      </c>
      <c r="H218" s="4">
        <v>2</v>
      </c>
      <c r="I218" s="4">
        <v>2</v>
      </c>
      <c r="J218" s="4">
        <v>45000</v>
      </c>
      <c r="K218" s="4"/>
      <c r="L218" s="4"/>
      <c r="M218" s="5">
        <f t="shared" si="30"/>
        <v>0.5</v>
      </c>
      <c r="N218" s="5">
        <f t="shared" si="31"/>
        <v>4</v>
      </c>
      <c r="O218" s="5">
        <f t="shared" si="32"/>
        <v>1</v>
      </c>
      <c r="P218" s="3">
        <f t="shared" si="33"/>
        <v>152951.19182746898</v>
      </c>
      <c r="Q218" s="6">
        <f t="shared" si="34"/>
        <v>0.88263450834879298</v>
      </c>
    </row>
    <row r="219" spans="1:17" x14ac:dyDescent="0.4">
      <c r="A219" s="2">
        <v>46032</v>
      </c>
      <c r="B219" s="1" t="s">
        <v>11</v>
      </c>
      <c r="C219" s="1" t="s">
        <v>12</v>
      </c>
      <c r="D219" s="1" t="s">
        <v>32</v>
      </c>
      <c r="E219" s="7">
        <v>124060.15037593986</v>
      </c>
      <c r="F219" s="4">
        <v>3</v>
      </c>
      <c r="G219" s="4"/>
      <c r="H219" s="4"/>
      <c r="I219" s="4"/>
      <c r="J219" s="4"/>
      <c r="K219" s="4"/>
      <c r="L219" s="4"/>
      <c r="M219" s="5">
        <f t="shared" si="30"/>
        <v>0</v>
      </c>
      <c r="N219" s="5">
        <f t="shared" si="31"/>
        <v>0</v>
      </c>
      <c r="O219" s="5">
        <f t="shared" si="32"/>
        <v>0</v>
      </c>
      <c r="P219" s="3">
        <f t="shared" si="33"/>
        <v>0</v>
      </c>
      <c r="Q219" s="6">
        <f t="shared" si="34"/>
        <v>0</v>
      </c>
    </row>
    <row r="220" spans="1:17" x14ac:dyDescent="0.4">
      <c r="A220" s="2">
        <v>46032</v>
      </c>
      <c r="B220" s="1" t="s">
        <v>17</v>
      </c>
      <c r="C220" s="1" t="s">
        <v>18</v>
      </c>
      <c r="D220" s="1" t="s">
        <v>53</v>
      </c>
      <c r="E220" s="7">
        <v>177419.35483870967</v>
      </c>
      <c r="F220" s="4">
        <v>4</v>
      </c>
      <c r="G220" s="4"/>
      <c r="H220" s="4"/>
      <c r="I220" s="4"/>
      <c r="J220" s="4"/>
      <c r="K220" s="4"/>
      <c r="L220" s="4"/>
      <c r="M220" s="5">
        <f t="shared" si="30"/>
        <v>0</v>
      </c>
      <c r="N220" s="5">
        <f t="shared" si="31"/>
        <v>0</v>
      </c>
      <c r="O220" s="5">
        <f t="shared" si="32"/>
        <v>0</v>
      </c>
      <c r="P220" s="3">
        <f t="shared" si="33"/>
        <v>0</v>
      </c>
      <c r="Q220" s="6">
        <f t="shared" si="34"/>
        <v>0</v>
      </c>
    </row>
    <row r="221" spans="1:17" x14ac:dyDescent="0.4">
      <c r="A221" s="2">
        <v>46032</v>
      </c>
      <c r="B221" s="1" t="s">
        <v>25</v>
      </c>
      <c r="C221" s="1" t="s">
        <v>35</v>
      </c>
      <c r="D221" s="1" t="s">
        <v>32</v>
      </c>
      <c r="E221" s="7">
        <v>0</v>
      </c>
      <c r="F221" s="4">
        <v>5</v>
      </c>
      <c r="G221" s="4"/>
      <c r="H221" s="4"/>
      <c r="I221" s="4"/>
      <c r="J221" s="4"/>
      <c r="K221" s="4"/>
      <c r="L221" s="4"/>
      <c r="M221" s="5">
        <f t="shared" si="30"/>
        <v>0</v>
      </c>
      <c r="N221" s="5">
        <f t="shared" si="31"/>
        <v>0</v>
      </c>
      <c r="O221" s="5">
        <f t="shared" si="32"/>
        <v>0</v>
      </c>
      <c r="P221" s="3">
        <f t="shared" si="33"/>
        <v>0</v>
      </c>
      <c r="Q221" s="6">
        <f t="shared" si="34"/>
        <v>0</v>
      </c>
    </row>
    <row r="222" spans="1:17" x14ac:dyDescent="0.4">
      <c r="A222" s="2">
        <v>46032</v>
      </c>
      <c r="B222" s="1" t="s">
        <v>24</v>
      </c>
      <c r="C222" s="1" t="s">
        <v>6</v>
      </c>
      <c r="D222" s="1" t="s">
        <v>69</v>
      </c>
      <c r="E222" s="7">
        <v>209009</v>
      </c>
      <c r="F222" s="4">
        <v>5</v>
      </c>
      <c r="G222" s="4" t="s">
        <v>68</v>
      </c>
      <c r="H222" s="4" t="s">
        <v>68</v>
      </c>
      <c r="I222" s="4" t="s">
        <v>68</v>
      </c>
      <c r="J222" s="4" t="s">
        <v>68</v>
      </c>
      <c r="K222" s="4" t="s">
        <v>68</v>
      </c>
      <c r="L222" s="4" t="s">
        <v>68</v>
      </c>
      <c r="M222" s="5">
        <f t="shared" si="30"/>
        <v>0</v>
      </c>
      <c r="N222" s="5">
        <f t="shared" si="31"/>
        <v>0</v>
      </c>
      <c r="O222" s="5">
        <f t="shared" si="32"/>
        <v>0</v>
      </c>
      <c r="P222" s="3">
        <f t="shared" si="33"/>
        <v>0</v>
      </c>
      <c r="Q222" s="6">
        <f t="shared" si="34"/>
        <v>0</v>
      </c>
    </row>
    <row r="223" spans="1:17" x14ac:dyDescent="0.4">
      <c r="A223" s="2">
        <v>46032</v>
      </c>
      <c r="B223" s="1" t="s">
        <v>9</v>
      </c>
      <c r="C223" s="1" t="s">
        <v>6</v>
      </c>
      <c r="D223" s="1" t="s">
        <v>70</v>
      </c>
      <c r="E223" s="7">
        <v>376215</v>
      </c>
      <c r="F223" s="4">
        <v>9</v>
      </c>
      <c r="G223" s="4">
        <v>4</v>
      </c>
      <c r="H223" s="4">
        <v>4</v>
      </c>
      <c r="I223" s="4">
        <v>3</v>
      </c>
      <c r="J223" s="4">
        <v>90000</v>
      </c>
      <c r="K223" s="4" t="s">
        <v>68</v>
      </c>
      <c r="L223" s="4" t="s">
        <v>68</v>
      </c>
      <c r="M223" s="5">
        <f t="shared" si="30"/>
        <v>1</v>
      </c>
      <c r="N223" s="5">
        <f t="shared" si="31"/>
        <v>0.44444444444444442</v>
      </c>
      <c r="O223" s="5">
        <f t="shared" si="32"/>
        <v>0.75</v>
      </c>
      <c r="P223" s="3">
        <f t="shared" si="33"/>
        <v>94053.75</v>
      </c>
      <c r="Q223" s="6">
        <f t="shared" si="34"/>
        <v>2.8706989354491448</v>
      </c>
    </row>
    <row r="224" spans="1:17" x14ac:dyDescent="0.4">
      <c r="A224" s="2">
        <v>46032</v>
      </c>
      <c r="B224" s="1" t="s">
        <v>15</v>
      </c>
      <c r="C224" s="1" t="s">
        <v>6</v>
      </c>
      <c r="D224" s="1" t="s">
        <v>44</v>
      </c>
      <c r="E224" s="7">
        <v>376215</v>
      </c>
      <c r="F224" s="4">
        <v>9</v>
      </c>
      <c r="G224" s="4">
        <v>3</v>
      </c>
      <c r="H224" s="4">
        <v>3</v>
      </c>
      <c r="I224" s="4">
        <v>3</v>
      </c>
      <c r="J224" s="4">
        <v>60000</v>
      </c>
      <c r="K224" s="4" t="s">
        <v>68</v>
      </c>
      <c r="L224" s="4" t="s">
        <v>68</v>
      </c>
      <c r="M224" s="5">
        <f t="shared" si="30"/>
        <v>1</v>
      </c>
      <c r="N224" s="5">
        <f t="shared" si="31"/>
        <v>0.33333333333333331</v>
      </c>
      <c r="O224" s="5">
        <f t="shared" si="32"/>
        <v>1</v>
      </c>
      <c r="P224" s="3">
        <f t="shared" si="33"/>
        <v>125405</v>
      </c>
      <c r="Q224" s="6">
        <f t="shared" si="34"/>
        <v>1.9137992902994299</v>
      </c>
    </row>
    <row r="225" spans="1:17" x14ac:dyDescent="0.4">
      <c r="A225" s="2">
        <v>46032</v>
      </c>
      <c r="B225" s="1" t="s">
        <v>10</v>
      </c>
      <c r="C225" s="1" t="s">
        <v>6</v>
      </c>
      <c r="D225" s="1" t="s">
        <v>33</v>
      </c>
      <c r="E225" s="7">
        <v>167207</v>
      </c>
      <c r="F225" s="4">
        <v>4</v>
      </c>
      <c r="G225" s="4">
        <v>4</v>
      </c>
      <c r="H225" s="4">
        <v>4</v>
      </c>
      <c r="I225" s="4">
        <v>3</v>
      </c>
      <c r="J225" s="4">
        <v>60000</v>
      </c>
      <c r="K225" s="4" t="s">
        <v>68</v>
      </c>
      <c r="L225" s="4" t="s">
        <v>68</v>
      </c>
      <c r="M225" s="5">
        <f t="shared" si="30"/>
        <v>1</v>
      </c>
      <c r="N225" s="5">
        <f t="shared" si="31"/>
        <v>1</v>
      </c>
      <c r="O225" s="5">
        <f t="shared" si="32"/>
        <v>0.75</v>
      </c>
      <c r="P225" s="3">
        <f t="shared" si="33"/>
        <v>41801.75</v>
      </c>
      <c r="Q225" s="6">
        <f t="shared" si="34"/>
        <v>4.3060398189071032</v>
      </c>
    </row>
    <row r="226" spans="1:17" x14ac:dyDescent="0.4">
      <c r="A226" s="2">
        <v>46032</v>
      </c>
      <c r="B226" s="1" t="s">
        <v>74</v>
      </c>
      <c r="C226" s="1" t="s">
        <v>6</v>
      </c>
      <c r="D226" s="1" t="s">
        <v>71</v>
      </c>
      <c r="E226" s="7">
        <v>209009</v>
      </c>
      <c r="F226" s="4">
        <v>5</v>
      </c>
      <c r="G226" s="4" t="s">
        <v>68</v>
      </c>
      <c r="H226" s="4" t="s">
        <v>68</v>
      </c>
      <c r="I226" s="4" t="s">
        <v>68</v>
      </c>
      <c r="J226" s="4" t="s">
        <v>68</v>
      </c>
      <c r="K226" s="4" t="s">
        <v>68</v>
      </c>
      <c r="L226" s="4" t="s">
        <v>68</v>
      </c>
      <c r="M226" s="5">
        <f t="shared" si="30"/>
        <v>0</v>
      </c>
      <c r="N226" s="5">
        <f t="shared" si="31"/>
        <v>0</v>
      </c>
      <c r="O226" s="5">
        <f t="shared" si="32"/>
        <v>0</v>
      </c>
      <c r="P226" s="3">
        <f t="shared" si="33"/>
        <v>0</v>
      </c>
      <c r="Q226" s="6">
        <f t="shared" si="34"/>
        <v>0</v>
      </c>
    </row>
    <row r="227" spans="1:17" x14ac:dyDescent="0.4">
      <c r="A227" s="2">
        <v>46032</v>
      </c>
      <c r="B227" s="1" t="s">
        <v>75</v>
      </c>
      <c r="C227" s="1" t="s">
        <v>6</v>
      </c>
      <c r="D227" s="1" t="s">
        <v>72</v>
      </c>
      <c r="E227" s="7">
        <v>167207</v>
      </c>
      <c r="F227" s="4">
        <v>4</v>
      </c>
      <c r="G227" s="4">
        <v>2</v>
      </c>
      <c r="H227" s="4">
        <v>2</v>
      </c>
      <c r="I227" s="4">
        <v>1</v>
      </c>
      <c r="J227" s="4">
        <v>25000</v>
      </c>
      <c r="K227" s="4" t="s">
        <v>68</v>
      </c>
      <c r="L227" s="4" t="s">
        <v>68</v>
      </c>
      <c r="M227" s="5">
        <f t="shared" si="30"/>
        <v>1</v>
      </c>
      <c r="N227" s="5">
        <f t="shared" si="31"/>
        <v>0.5</v>
      </c>
      <c r="O227" s="5">
        <f t="shared" si="32"/>
        <v>0.5</v>
      </c>
      <c r="P227" s="3">
        <f t="shared" si="33"/>
        <v>83603.5</v>
      </c>
      <c r="Q227" s="6">
        <f t="shared" si="34"/>
        <v>1.7941832578779597</v>
      </c>
    </row>
    <row r="228" spans="1:17" x14ac:dyDescent="0.4">
      <c r="A228" s="2">
        <v>46032</v>
      </c>
      <c r="B228" s="1" t="s">
        <v>76</v>
      </c>
      <c r="C228" s="1" t="s">
        <v>6</v>
      </c>
      <c r="D228" s="1" t="s">
        <v>73</v>
      </c>
      <c r="E228" s="7">
        <v>209009</v>
      </c>
      <c r="F228" s="4">
        <v>5</v>
      </c>
      <c r="G228" s="4" t="s">
        <v>68</v>
      </c>
      <c r="H228" s="4" t="s">
        <v>68</v>
      </c>
      <c r="I228" s="4" t="s">
        <v>68</v>
      </c>
      <c r="J228" s="4" t="s">
        <v>68</v>
      </c>
      <c r="K228" s="4" t="s">
        <v>68</v>
      </c>
      <c r="L228" s="4" t="s">
        <v>68</v>
      </c>
      <c r="M228" s="5">
        <f t="shared" si="30"/>
        <v>0</v>
      </c>
      <c r="N228" s="5">
        <f t="shared" si="31"/>
        <v>0</v>
      </c>
      <c r="O228" s="5">
        <f t="shared" si="32"/>
        <v>0</v>
      </c>
      <c r="P228" s="3">
        <f t="shared" si="33"/>
        <v>0</v>
      </c>
      <c r="Q228" s="6">
        <f t="shared" si="34"/>
        <v>0</v>
      </c>
    </row>
    <row r="229" spans="1:17" x14ac:dyDescent="0.4">
      <c r="A229" s="2">
        <v>46032</v>
      </c>
      <c r="B229" s="1" t="s">
        <v>5</v>
      </c>
      <c r="C229" s="1" t="s">
        <v>6</v>
      </c>
      <c r="D229" s="1" t="s">
        <v>52</v>
      </c>
      <c r="E229" s="7">
        <v>209009</v>
      </c>
      <c r="F229" s="4">
        <v>5</v>
      </c>
      <c r="G229" s="4">
        <v>2</v>
      </c>
      <c r="H229" s="4">
        <v>1</v>
      </c>
      <c r="I229" s="4">
        <v>1</v>
      </c>
      <c r="J229" s="4">
        <v>30000</v>
      </c>
      <c r="K229" s="4" t="s">
        <v>68</v>
      </c>
      <c r="L229" s="4" t="s">
        <v>68</v>
      </c>
      <c r="M229" s="5">
        <f t="shared" si="30"/>
        <v>0.5</v>
      </c>
      <c r="N229" s="5">
        <f t="shared" si="31"/>
        <v>0.4</v>
      </c>
      <c r="O229" s="5">
        <f t="shared" si="32"/>
        <v>1</v>
      </c>
      <c r="P229" s="3">
        <f t="shared" si="33"/>
        <v>104504.5</v>
      </c>
      <c r="Q229" s="6">
        <f t="shared" si="34"/>
        <v>1.7224138673454252</v>
      </c>
    </row>
    <row r="230" spans="1:17" x14ac:dyDescent="0.4">
      <c r="A230" s="2">
        <v>46032</v>
      </c>
      <c r="B230" s="1" t="s">
        <v>26</v>
      </c>
      <c r="C230" s="1" t="s">
        <v>36</v>
      </c>
      <c r="D230" s="1" t="s">
        <v>52</v>
      </c>
      <c r="E230" s="7">
        <v>0</v>
      </c>
      <c r="F230" s="4">
        <v>2</v>
      </c>
      <c r="G230" s="4"/>
      <c r="H230" s="4"/>
      <c r="I230" s="4"/>
      <c r="J230" s="4"/>
      <c r="K230" s="4"/>
      <c r="L230" s="4"/>
      <c r="M230" s="5">
        <f t="shared" si="30"/>
        <v>0</v>
      </c>
      <c r="N230" s="5">
        <f t="shared" si="31"/>
        <v>0</v>
      </c>
      <c r="O230" s="5">
        <f t="shared" si="32"/>
        <v>0</v>
      </c>
      <c r="P230" s="3">
        <f t="shared" si="33"/>
        <v>0</v>
      </c>
      <c r="Q230" s="6">
        <f t="shared" si="34"/>
        <v>0</v>
      </c>
    </row>
    <row r="231" spans="1:17" x14ac:dyDescent="0.4">
      <c r="A231" s="2">
        <v>46032</v>
      </c>
      <c r="B231" s="1" t="s">
        <v>51</v>
      </c>
      <c r="C231" s="1" t="s">
        <v>50</v>
      </c>
      <c r="D231" s="1" t="s">
        <v>54</v>
      </c>
      <c r="E231" s="7">
        <v>428571.42857142858</v>
      </c>
      <c r="F231" s="4">
        <v>3</v>
      </c>
      <c r="G231" s="4">
        <v>7</v>
      </c>
      <c r="H231" s="4">
        <v>4</v>
      </c>
      <c r="I231" s="4">
        <v>3</v>
      </c>
      <c r="J231" s="4">
        <v>60000</v>
      </c>
      <c r="K231" s="4"/>
      <c r="L231" s="4"/>
      <c r="M231" s="5">
        <f t="shared" si="30"/>
        <v>0.5714285714285714</v>
      </c>
      <c r="N231" s="5">
        <f t="shared" si="31"/>
        <v>2.3333333333333335</v>
      </c>
      <c r="O231" s="5">
        <f t="shared" si="32"/>
        <v>0.75</v>
      </c>
      <c r="P231" s="3">
        <f t="shared" si="33"/>
        <v>61224.489795918365</v>
      </c>
      <c r="Q231" s="6">
        <f t="shared" si="34"/>
        <v>1.68</v>
      </c>
    </row>
    <row r="232" spans="1:17" x14ac:dyDescent="0.4">
      <c r="A232" s="2">
        <v>46032</v>
      </c>
      <c r="B232" s="1" t="s">
        <v>56</v>
      </c>
      <c r="C232" s="1" t="s">
        <v>57</v>
      </c>
      <c r="D232" s="1" t="s">
        <v>59</v>
      </c>
      <c r="E232" s="7">
        <v>195555.55555555556</v>
      </c>
      <c r="F232" s="4">
        <v>6</v>
      </c>
      <c r="G232" s="4">
        <v>1</v>
      </c>
      <c r="H232" s="4"/>
      <c r="I232" s="4"/>
      <c r="J232" s="4"/>
      <c r="K232" s="4"/>
      <c r="L232" s="4"/>
      <c r="M232" s="5">
        <f t="shared" si="30"/>
        <v>0</v>
      </c>
      <c r="N232" s="5">
        <f t="shared" si="31"/>
        <v>0.16666666666666666</v>
      </c>
      <c r="O232" s="5">
        <f t="shared" si="32"/>
        <v>0</v>
      </c>
      <c r="P232" s="3">
        <f t="shared" si="33"/>
        <v>195555.55555555556</v>
      </c>
      <c r="Q232" s="6">
        <f t="shared" si="34"/>
        <v>0</v>
      </c>
    </row>
    <row r="233" spans="1:17" x14ac:dyDescent="0.4">
      <c r="A233" s="2">
        <v>46032</v>
      </c>
      <c r="B233" s="1" t="s">
        <v>16</v>
      </c>
      <c r="C233" s="1" t="s">
        <v>58</v>
      </c>
      <c r="D233" s="1" t="s">
        <v>53</v>
      </c>
      <c r="E233" s="7">
        <v>137500</v>
      </c>
      <c r="F233" s="4">
        <v>2</v>
      </c>
      <c r="G233" s="4"/>
      <c r="H233" s="4"/>
      <c r="I233" s="4"/>
      <c r="J233" s="4"/>
      <c r="K233" s="4"/>
      <c r="L233" s="4"/>
      <c r="M233" s="5">
        <f t="shared" si="30"/>
        <v>0</v>
      </c>
      <c r="N233" s="5">
        <f t="shared" si="31"/>
        <v>0</v>
      </c>
      <c r="O233" s="5">
        <f t="shared" si="32"/>
        <v>0</v>
      </c>
      <c r="P233" s="3">
        <f t="shared" si="33"/>
        <v>0</v>
      </c>
      <c r="Q233" s="6">
        <f t="shared" si="34"/>
        <v>0</v>
      </c>
    </row>
    <row r="234" spans="1:17" x14ac:dyDescent="0.4">
      <c r="A234" s="2">
        <v>46032</v>
      </c>
      <c r="B234" s="1" t="s">
        <v>19</v>
      </c>
      <c r="C234" s="1" t="s">
        <v>20</v>
      </c>
      <c r="D234" s="1" t="s">
        <v>34</v>
      </c>
      <c r="E234" s="7">
        <v>187234.04255319148</v>
      </c>
      <c r="F234" s="4">
        <v>4</v>
      </c>
      <c r="G234" s="4">
        <v>2</v>
      </c>
      <c r="H234" s="4">
        <v>1</v>
      </c>
      <c r="I234" s="4"/>
      <c r="J234" s="4"/>
      <c r="K234" s="4"/>
      <c r="L234" s="4"/>
      <c r="M234" s="5">
        <f t="shared" si="30"/>
        <v>0.5</v>
      </c>
      <c r="N234" s="5">
        <f t="shared" si="31"/>
        <v>0.5</v>
      </c>
      <c r="O234" s="5">
        <f t="shared" si="32"/>
        <v>0</v>
      </c>
      <c r="P234" s="3">
        <f t="shared" si="33"/>
        <v>93617.02127659574</v>
      </c>
      <c r="Q234" s="6">
        <f t="shared" si="34"/>
        <v>0</v>
      </c>
    </row>
    <row r="235" spans="1:17" x14ac:dyDescent="0.4">
      <c r="A235" s="2">
        <v>46032</v>
      </c>
      <c r="B235" s="1" t="s">
        <v>23</v>
      </c>
      <c r="C235" s="1" t="s">
        <v>37</v>
      </c>
      <c r="D235" s="1" t="s">
        <v>32</v>
      </c>
      <c r="E235" s="7">
        <v>0</v>
      </c>
      <c r="F235" s="4">
        <v>6</v>
      </c>
      <c r="G235" s="4"/>
      <c r="H235" s="4"/>
      <c r="I235" s="4"/>
      <c r="J235" s="4"/>
      <c r="K235" s="4"/>
      <c r="L235" s="4"/>
      <c r="M235" s="5">
        <f t="shared" si="30"/>
        <v>0</v>
      </c>
      <c r="N235" s="5">
        <f t="shared" si="31"/>
        <v>0</v>
      </c>
      <c r="O235" s="5">
        <f t="shared" si="32"/>
        <v>0</v>
      </c>
      <c r="P235" s="3">
        <f t="shared" si="33"/>
        <v>0</v>
      </c>
      <c r="Q235" s="6">
        <f t="shared" si="34"/>
        <v>0</v>
      </c>
    </row>
    <row r="236" spans="1:17" x14ac:dyDescent="0.4">
      <c r="A236" s="2">
        <v>46032</v>
      </c>
      <c r="B236" s="1" t="s">
        <v>21</v>
      </c>
      <c r="C236" s="1" t="s">
        <v>22</v>
      </c>
      <c r="D236" s="1" t="s">
        <v>32</v>
      </c>
      <c r="E236" s="7">
        <v>283870.96774193551</v>
      </c>
      <c r="F236" s="4">
        <v>9</v>
      </c>
      <c r="G236" s="4">
        <v>4</v>
      </c>
      <c r="H236" s="4">
        <v>3</v>
      </c>
      <c r="I236" s="4">
        <v>2</v>
      </c>
      <c r="J236" s="4">
        <v>30000</v>
      </c>
      <c r="K236" s="4"/>
      <c r="L236" s="4"/>
      <c r="M236" s="5">
        <f t="shared" si="30"/>
        <v>0.75</v>
      </c>
      <c r="N236" s="5">
        <f t="shared" si="31"/>
        <v>0.44444444444444442</v>
      </c>
      <c r="O236" s="5">
        <f t="shared" si="32"/>
        <v>0.66666666666666663</v>
      </c>
      <c r="P236" s="3">
        <f t="shared" si="33"/>
        <v>70967.741935483878</v>
      </c>
      <c r="Q236" s="6">
        <f t="shared" si="34"/>
        <v>1.2681818181818181</v>
      </c>
    </row>
    <row r="237" spans="1:17" x14ac:dyDescent="0.4">
      <c r="A237" s="2">
        <v>46032</v>
      </c>
      <c r="B237" s="1" t="s">
        <v>60</v>
      </c>
      <c r="C237" s="1" t="s">
        <v>63</v>
      </c>
      <c r="D237" s="1" t="s">
        <v>53</v>
      </c>
      <c r="E237" s="7">
        <v>123975.40983606559</v>
      </c>
      <c r="F237" s="4">
        <v>3</v>
      </c>
      <c r="G237" s="4"/>
      <c r="H237" s="4"/>
      <c r="I237" s="4"/>
      <c r="J237" s="4"/>
      <c r="K237" s="4"/>
      <c r="L237" s="4"/>
      <c r="M237" s="5">
        <f t="shared" ref="M237:M328" si="35">IFERROR(H237/G237,0)</f>
        <v>0</v>
      </c>
      <c r="N237" s="5">
        <f t="shared" ref="N237:N328" si="36">IFERROR(G237/F237,0)</f>
        <v>0</v>
      </c>
      <c r="O237" s="5">
        <f t="shared" ref="O237:O328" si="37">IFERROR(I237/H237,0)</f>
        <v>0</v>
      </c>
      <c r="P237" s="3">
        <f t="shared" ref="P237:P328" si="38">IFERROR(E237/G237,0)</f>
        <v>0</v>
      </c>
      <c r="Q237" s="6">
        <f t="shared" ref="Q237:Q328" si="39">IFERROR(J237*12/E237,0)</f>
        <v>0</v>
      </c>
    </row>
    <row r="238" spans="1:17" x14ac:dyDescent="0.4">
      <c r="A238" s="2">
        <v>46032</v>
      </c>
      <c r="B238" s="1" t="s">
        <v>61</v>
      </c>
      <c r="C238" s="1" t="s">
        <v>64</v>
      </c>
      <c r="D238" s="1" t="s">
        <v>66</v>
      </c>
      <c r="E238" s="7">
        <v>0</v>
      </c>
      <c r="F238" s="4">
        <v>6</v>
      </c>
      <c r="G238" s="4"/>
      <c r="H238" s="4"/>
      <c r="I238" s="4"/>
      <c r="J238" s="4"/>
      <c r="K238" s="4"/>
      <c r="L238" s="4"/>
      <c r="M238" s="5">
        <f t="shared" si="35"/>
        <v>0</v>
      </c>
      <c r="N238" s="5">
        <f t="shared" si="36"/>
        <v>0</v>
      </c>
      <c r="O238" s="5">
        <f t="shared" si="37"/>
        <v>0</v>
      </c>
      <c r="P238" s="3">
        <f t="shared" si="38"/>
        <v>0</v>
      </c>
      <c r="Q238" s="6">
        <f t="shared" si="39"/>
        <v>0</v>
      </c>
    </row>
    <row r="239" spans="1:17" x14ac:dyDescent="0.4">
      <c r="A239" s="2">
        <v>46032</v>
      </c>
      <c r="B239" s="1" t="s">
        <v>62</v>
      </c>
      <c r="C239" s="1" t="s">
        <v>65</v>
      </c>
      <c r="D239" s="1" t="s">
        <v>67</v>
      </c>
      <c r="E239" s="7">
        <v>211538.46153846156</v>
      </c>
      <c r="F239" s="4">
        <v>2</v>
      </c>
      <c r="G239" s="4"/>
      <c r="H239" s="4"/>
      <c r="I239" s="4"/>
      <c r="J239" s="4"/>
      <c r="K239" s="4"/>
      <c r="L239" s="4"/>
      <c r="M239" s="5">
        <f t="shared" si="35"/>
        <v>0</v>
      </c>
      <c r="N239" s="5">
        <f t="shared" si="36"/>
        <v>0</v>
      </c>
      <c r="O239" s="5">
        <f t="shared" si="37"/>
        <v>0</v>
      </c>
      <c r="P239" s="3">
        <f t="shared" si="38"/>
        <v>0</v>
      </c>
      <c r="Q239" s="6">
        <f t="shared" si="39"/>
        <v>0</v>
      </c>
    </row>
    <row r="240" spans="1:17" x14ac:dyDescent="0.4">
      <c r="A240" s="2">
        <v>46032</v>
      </c>
      <c r="B240" s="1" t="s">
        <v>42</v>
      </c>
      <c r="C240" s="1" t="s">
        <v>38</v>
      </c>
      <c r="D240" s="1" t="s">
        <v>42</v>
      </c>
      <c r="E240" s="7">
        <v>0</v>
      </c>
      <c r="F240" s="4">
        <v>0</v>
      </c>
      <c r="G240" s="4"/>
      <c r="H240" s="4"/>
      <c r="I240" s="4"/>
      <c r="J240" s="4"/>
      <c r="K240" s="4"/>
      <c r="L240" s="4"/>
      <c r="M240" s="5">
        <f t="shared" si="35"/>
        <v>0</v>
      </c>
      <c r="N240" s="5">
        <f t="shared" si="36"/>
        <v>0</v>
      </c>
      <c r="O240" s="5">
        <f t="shared" si="37"/>
        <v>0</v>
      </c>
      <c r="P240" s="3">
        <f t="shared" si="38"/>
        <v>0</v>
      </c>
      <c r="Q240" s="6">
        <f t="shared" si="39"/>
        <v>0</v>
      </c>
    </row>
    <row r="241" spans="1:17" x14ac:dyDescent="0.4">
      <c r="A241" s="2">
        <v>46032</v>
      </c>
      <c r="B241" s="1" t="s">
        <v>7</v>
      </c>
      <c r="C241" s="1" t="s">
        <v>8</v>
      </c>
      <c r="D241" s="1" t="s">
        <v>42</v>
      </c>
      <c r="E241" s="7">
        <v>0</v>
      </c>
      <c r="F241" s="4">
        <v>0</v>
      </c>
      <c r="G241" s="3">
        <v>1</v>
      </c>
      <c r="H241" s="3">
        <v>1</v>
      </c>
      <c r="I241" s="3"/>
      <c r="J241" s="3"/>
      <c r="K241" s="3"/>
      <c r="L241" s="3"/>
      <c r="M241" s="5">
        <f t="shared" si="35"/>
        <v>1</v>
      </c>
      <c r="N241" s="5">
        <f t="shared" si="36"/>
        <v>0</v>
      </c>
      <c r="O241" s="5">
        <f t="shared" si="37"/>
        <v>0</v>
      </c>
      <c r="P241" s="3">
        <f t="shared" si="38"/>
        <v>0</v>
      </c>
      <c r="Q241" s="6">
        <f t="shared" si="39"/>
        <v>0</v>
      </c>
    </row>
    <row r="242" spans="1:17" x14ac:dyDescent="0.4">
      <c r="A242" s="2">
        <v>46033</v>
      </c>
      <c r="B242" s="1" t="s">
        <v>13</v>
      </c>
      <c r="C242" s="1" t="s">
        <v>14</v>
      </c>
      <c r="D242" s="1" t="s">
        <v>31</v>
      </c>
      <c r="E242" s="7">
        <v>808456.29965947894</v>
      </c>
      <c r="F242" s="4">
        <v>2</v>
      </c>
      <c r="G242" s="4">
        <v>5</v>
      </c>
      <c r="H242" s="4">
        <v>4</v>
      </c>
      <c r="I242" s="4"/>
      <c r="J242" s="4"/>
      <c r="K242" s="4"/>
      <c r="L242" s="4"/>
      <c r="M242" s="5">
        <f t="shared" si="35"/>
        <v>0.8</v>
      </c>
      <c r="N242" s="5">
        <f t="shared" si="36"/>
        <v>2.5</v>
      </c>
      <c r="O242" s="5">
        <f t="shared" si="37"/>
        <v>0</v>
      </c>
      <c r="P242" s="3">
        <f t="shared" si="38"/>
        <v>161691.25993189579</v>
      </c>
      <c r="Q242" s="6">
        <f t="shared" si="39"/>
        <v>0</v>
      </c>
    </row>
    <row r="243" spans="1:17" x14ac:dyDescent="0.4">
      <c r="A243" s="2">
        <v>46033</v>
      </c>
      <c r="B243" s="1" t="s">
        <v>11</v>
      </c>
      <c r="C243" s="1" t="s">
        <v>12</v>
      </c>
      <c r="D243" s="1" t="s">
        <v>32</v>
      </c>
      <c r="E243" s="7">
        <v>124060.15037593986</v>
      </c>
      <c r="F243" s="4">
        <v>3</v>
      </c>
      <c r="G243" s="4"/>
      <c r="H243" s="4"/>
      <c r="I243" s="4"/>
      <c r="J243" s="4"/>
      <c r="K243" s="4"/>
      <c r="L243" s="4"/>
      <c r="M243" s="5">
        <f t="shared" si="35"/>
        <v>0</v>
      </c>
      <c r="N243" s="5">
        <f t="shared" si="36"/>
        <v>0</v>
      </c>
      <c r="O243" s="5">
        <f t="shared" si="37"/>
        <v>0</v>
      </c>
      <c r="P243" s="3">
        <f t="shared" si="38"/>
        <v>0</v>
      </c>
      <c r="Q243" s="6">
        <f t="shared" si="39"/>
        <v>0</v>
      </c>
    </row>
    <row r="244" spans="1:17" x14ac:dyDescent="0.4">
      <c r="A244" s="2">
        <v>46033</v>
      </c>
      <c r="B244" s="1" t="s">
        <v>17</v>
      </c>
      <c r="C244" s="1" t="s">
        <v>18</v>
      </c>
      <c r="D244" s="1" t="s">
        <v>53</v>
      </c>
      <c r="E244" s="7">
        <v>177419.35483870967</v>
      </c>
      <c r="F244" s="4">
        <v>4</v>
      </c>
      <c r="G244" s="4"/>
      <c r="H244" s="4"/>
      <c r="I244" s="4"/>
      <c r="J244" s="4"/>
      <c r="K244" s="4"/>
      <c r="L244" s="4"/>
      <c r="M244" s="5">
        <f t="shared" si="35"/>
        <v>0</v>
      </c>
      <c r="N244" s="5">
        <f t="shared" si="36"/>
        <v>0</v>
      </c>
      <c r="O244" s="5">
        <f t="shared" si="37"/>
        <v>0</v>
      </c>
      <c r="P244" s="3">
        <f t="shared" si="38"/>
        <v>0</v>
      </c>
      <c r="Q244" s="6">
        <f t="shared" si="39"/>
        <v>0</v>
      </c>
    </row>
    <row r="245" spans="1:17" x14ac:dyDescent="0.4">
      <c r="A245" s="2">
        <v>46033</v>
      </c>
      <c r="B245" s="1" t="s">
        <v>25</v>
      </c>
      <c r="C245" s="1" t="s">
        <v>35</v>
      </c>
      <c r="D245" s="1" t="s">
        <v>32</v>
      </c>
      <c r="E245" s="7">
        <v>0</v>
      </c>
      <c r="F245" s="4">
        <v>5</v>
      </c>
      <c r="G245" s="4">
        <v>3</v>
      </c>
      <c r="H245" s="4">
        <v>3</v>
      </c>
      <c r="I245" s="4">
        <v>3</v>
      </c>
      <c r="J245" s="4">
        <v>45000</v>
      </c>
      <c r="K245" s="4"/>
      <c r="L245" s="4"/>
      <c r="M245" s="5">
        <f t="shared" si="35"/>
        <v>1</v>
      </c>
      <c r="N245" s="5">
        <f t="shared" si="36"/>
        <v>0.6</v>
      </c>
      <c r="O245" s="5">
        <f t="shared" si="37"/>
        <v>1</v>
      </c>
      <c r="P245" s="3">
        <f t="shared" si="38"/>
        <v>0</v>
      </c>
      <c r="Q245" s="6">
        <f t="shared" si="39"/>
        <v>0</v>
      </c>
    </row>
    <row r="246" spans="1:17" x14ac:dyDescent="0.4">
      <c r="A246" s="2">
        <v>46033</v>
      </c>
      <c r="B246" s="1" t="s">
        <v>24</v>
      </c>
      <c r="C246" s="1" t="s">
        <v>6</v>
      </c>
      <c r="D246" s="1" t="s">
        <v>69</v>
      </c>
      <c r="E246" s="7">
        <v>205314</v>
      </c>
      <c r="F246" s="4">
        <v>5</v>
      </c>
      <c r="G246" s="4">
        <v>2</v>
      </c>
      <c r="H246" s="4">
        <v>2</v>
      </c>
      <c r="I246" s="4">
        <v>2</v>
      </c>
      <c r="J246" s="4">
        <v>50000</v>
      </c>
      <c r="K246" s="4" t="s">
        <v>68</v>
      </c>
      <c r="L246" s="4" t="s">
        <v>68</v>
      </c>
      <c r="M246" s="5">
        <f t="shared" si="35"/>
        <v>1</v>
      </c>
      <c r="N246" s="5">
        <f t="shared" si="36"/>
        <v>0.4</v>
      </c>
      <c r="O246" s="5">
        <f t="shared" si="37"/>
        <v>1</v>
      </c>
      <c r="P246" s="3">
        <f t="shared" si="38"/>
        <v>102657</v>
      </c>
      <c r="Q246" s="6">
        <f t="shared" si="39"/>
        <v>2.9223530786989684</v>
      </c>
    </row>
    <row r="247" spans="1:17" x14ac:dyDescent="0.4">
      <c r="A247" s="2">
        <v>46033</v>
      </c>
      <c r="B247" s="1" t="s">
        <v>9</v>
      </c>
      <c r="C247" s="1" t="s">
        <v>6</v>
      </c>
      <c r="D247" s="1" t="s">
        <v>70</v>
      </c>
      <c r="E247" s="7">
        <v>369565</v>
      </c>
      <c r="F247" s="4">
        <v>9</v>
      </c>
      <c r="G247" s="4">
        <v>6</v>
      </c>
      <c r="H247" s="4">
        <v>5</v>
      </c>
      <c r="I247" s="4">
        <v>3</v>
      </c>
      <c r="J247" s="4">
        <v>50000</v>
      </c>
      <c r="K247" s="4">
        <v>1</v>
      </c>
      <c r="L247" s="4">
        <v>20000</v>
      </c>
      <c r="M247" s="5">
        <f t="shared" si="35"/>
        <v>0.83333333333333337</v>
      </c>
      <c r="N247" s="5">
        <f t="shared" si="36"/>
        <v>0.66666666666666663</v>
      </c>
      <c r="O247" s="5">
        <f t="shared" si="37"/>
        <v>0.6</v>
      </c>
      <c r="P247" s="3">
        <f t="shared" si="38"/>
        <v>61594.166666666664</v>
      </c>
      <c r="Q247" s="6">
        <f t="shared" si="39"/>
        <v>1.6235303667825687</v>
      </c>
    </row>
    <row r="248" spans="1:17" x14ac:dyDescent="0.4">
      <c r="A248" s="2">
        <v>46033</v>
      </c>
      <c r="B248" s="1" t="s">
        <v>15</v>
      </c>
      <c r="C248" s="1" t="s">
        <v>6</v>
      </c>
      <c r="D248" s="1" t="s">
        <v>44</v>
      </c>
      <c r="E248" s="7">
        <v>369565</v>
      </c>
      <c r="F248" s="4">
        <v>9</v>
      </c>
      <c r="G248" s="4">
        <v>3</v>
      </c>
      <c r="H248" s="4">
        <v>3</v>
      </c>
      <c r="I248" s="4">
        <v>1</v>
      </c>
      <c r="J248" s="4">
        <v>20000</v>
      </c>
      <c r="K248" s="4">
        <v>1</v>
      </c>
      <c r="L248" s="4">
        <v>20000</v>
      </c>
      <c r="M248" s="5">
        <f t="shared" si="35"/>
        <v>1</v>
      </c>
      <c r="N248" s="5">
        <f t="shared" si="36"/>
        <v>0.33333333333333331</v>
      </c>
      <c r="O248" s="5">
        <f t="shared" si="37"/>
        <v>0.33333333333333331</v>
      </c>
      <c r="P248" s="3">
        <f t="shared" si="38"/>
        <v>123188.33333333333</v>
      </c>
      <c r="Q248" s="6">
        <f t="shared" si="39"/>
        <v>0.64941214671302749</v>
      </c>
    </row>
    <row r="249" spans="1:17" x14ac:dyDescent="0.4">
      <c r="A249" s="2">
        <v>46033</v>
      </c>
      <c r="B249" s="1" t="s">
        <v>10</v>
      </c>
      <c r="C249" s="1" t="s">
        <v>6</v>
      </c>
      <c r="D249" s="1" t="s">
        <v>33</v>
      </c>
      <c r="E249" s="7">
        <v>205314</v>
      </c>
      <c r="F249" s="4">
        <v>5</v>
      </c>
      <c r="G249" s="4">
        <v>2</v>
      </c>
      <c r="H249" s="4">
        <v>1</v>
      </c>
      <c r="I249" s="4">
        <v>1</v>
      </c>
      <c r="J249" s="4">
        <v>25000</v>
      </c>
      <c r="K249" s="4" t="s">
        <v>68</v>
      </c>
      <c r="L249" s="4" t="s">
        <v>68</v>
      </c>
      <c r="M249" s="5">
        <f t="shared" si="35"/>
        <v>0.5</v>
      </c>
      <c r="N249" s="5">
        <f t="shared" si="36"/>
        <v>0.4</v>
      </c>
      <c r="O249" s="5">
        <f t="shared" si="37"/>
        <v>1</v>
      </c>
      <c r="P249" s="3">
        <f t="shared" si="38"/>
        <v>102657</v>
      </c>
      <c r="Q249" s="6">
        <f t="shared" si="39"/>
        <v>1.4611765393494842</v>
      </c>
    </row>
    <row r="250" spans="1:17" x14ac:dyDescent="0.4">
      <c r="A250" s="2">
        <v>46033</v>
      </c>
      <c r="B250" s="1" t="s">
        <v>74</v>
      </c>
      <c r="C250" s="1" t="s">
        <v>6</v>
      </c>
      <c r="D250" s="1" t="s">
        <v>71</v>
      </c>
      <c r="E250" s="7">
        <v>164251</v>
      </c>
      <c r="F250" s="4">
        <v>4</v>
      </c>
      <c r="G250" s="4" t="s">
        <v>68</v>
      </c>
      <c r="H250" s="4" t="s">
        <v>68</v>
      </c>
      <c r="I250" s="4" t="s">
        <v>68</v>
      </c>
      <c r="J250" s="4" t="s">
        <v>68</v>
      </c>
      <c r="K250" s="4" t="s">
        <v>68</v>
      </c>
      <c r="L250" s="4" t="s">
        <v>68</v>
      </c>
      <c r="M250" s="5">
        <f t="shared" si="35"/>
        <v>0</v>
      </c>
      <c r="N250" s="5">
        <f t="shared" si="36"/>
        <v>0</v>
      </c>
      <c r="O250" s="5">
        <f t="shared" si="37"/>
        <v>0</v>
      </c>
      <c r="P250" s="3">
        <f t="shared" si="38"/>
        <v>0</v>
      </c>
      <c r="Q250" s="6">
        <f t="shared" si="39"/>
        <v>0</v>
      </c>
    </row>
    <row r="251" spans="1:17" x14ac:dyDescent="0.4">
      <c r="A251" s="2">
        <v>46033</v>
      </c>
      <c r="B251" s="1" t="s">
        <v>75</v>
      </c>
      <c r="C251" s="1" t="s">
        <v>6</v>
      </c>
      <c r="D251" s="1" t="s">
        <v>72</v>
      </c>
      <c r="E251" s="7">
        <v>205314</v>
      </c>
      <c r="F251" s="4">
        <v>5</v>
      </c>
      <c r="G251" s="4" t="s">
        <v>68</v>
      </c>
      <c r="H251" s="4" t="s">
        <v>68</v>
      </c>
      <c r="I251" s="4" t="s">
        <v>68</v>
      </c>
      <c r="J251" s="4" t="s">
        <v>68</v>
      </c>
      <c r="K251" s="4" t="s">
        <v>68</v>
      </c>
      <c r="L251" s="4" t="s">
        <v>68</v>
      </c>
      <c r="M251" s="5">
        <f t="shared" si="35"/>
        <v>0</v>
      </c>
      <c r="N251" s="5">
        <f t="shared" si="36"/>
        <v>0</v>
      </c>
      <c r="O251" s="5">
        <f t="shared" si="37"/>
        <v>0</v>
      </c>
      <c r="P251" s="3">
        <f t="shared" si="38"/>
        <v>0</v>
      </c>
      <c r="Q251" s="6">
        <f t="shared" si="39"/>
        <v>0</v>
      </c>
    </row>
    <row r="252" spans="1:17" x14ac:dyDescent="0.4">
      <c r="A252" s="2">
        <v>46033</v>
      </c>
      <c r="B252" s="1" t="s">
        <v>76</v>
      </c>
      <c r="C252" s="1" t="s">
        <v>6</v>
      </c>
      <c r="D252" s="1" t="s">
        <v>73</v>
      </c>
      <c r="E252" s="7">
        <v>205314</v>
      </c>
      <c r="F252" s="4">
        <v>5</v>
      </c>
      <c r="G252" s="4" t="s">
        <v>68</v>
      </c>
      <c r="H252" s="4" t="s">
        <v>68</v>
      </c>
      <c r="I252" s="4" t="s">
        <v>68</v>
      </c>
      <c r="J252" s="4" t="s">
        <v>68</v>
      </c>
      <c r="K252" s="4" t="s">
        <v>68</v>
      </c>
      <c r="L252" s="4" t="s">
        <v>68</v>
      </c>
      <c r="M252" s="5">
        <f t="shared" si="35"/>
        <v>0</v>
      </c>
      <c r="N252" s="5">
        <f t="shared" si="36"/>
        <v>0</v>
      </c>
      <c r="O252" s="5">
        <f t="shared" si="37"/>
        <v>0</v>
      </c>
      <c r="P252" s="3">
        <f t="shared" si="38"/>
        <v>0</v>
      </c>
      <c r="Q252" s="6">
        <f t="shared" si="39"/>
        <v>0</v>
      </c>
    </row>
    <row r="253" spans="1:17" x14ac:dyDescent="0.4">
      <c r="A253" s="2">
        <v>46033</v>
      </c>
      <c r="B253" s="1" t="s">
        <v>5</v>
      </c>
      <c r="C253" s="1" t="s">
        <v>6</v>
      </c>
      <c r="D253" s="1" t="s">
        <v>52</v>
      </c>
      <c r="E253" s="7">
        <v>205314</v>
      </c>
      <c r="F253" s="4">
        <v>5</v>
      </c>
      <c r="G253" s="4">
        <v>3</v>
      </c>
      <c r="H253" s="4">
        <v>2</v>
      </c>
      <c r="I253" s="4">
        <v>1</v>
      </c>
      <c r="J253" s="4">
        <v>30000</v>
      </c>
      <c r="K253" s="4" t="s">
        <v>68</v>
      </c>
      <c r="L253" s="4" t="s">
        <v>68</v>
      </c>
      <c r="M253" s="5">
        <f t="shared" si="35"/>
        <v>0.66666666666666663</v>
      </c>
      <c r="N253" s="5">
        <f t="shared" si="36"/>
        <v>0.6</v>
      </c>
      <c r="O253" s="5">
        <f t="shared" si="37"/>
        <v>0.5</v>
      </c>
      <c r="P253" s="3">
        <f t="shared" si="38"/>
        <v>68438</v>
      </c>
      <c r="Q253" s="6">
        <f t="shared" si="39"/>
        <v>1.7534118472193811</v>
      </c>
    </row>
    <row r="254" spans="1:17" x14ac:dyDescent="0.4">
      <c r="A254" s="2">
        <v>46033</v>
      </c>
      <c r="B254" s="1" t="s">
        <v>26</v>
      </c>
      <c r="C254" s="1" t="s">
        <v>36</v>
      </c>
      <c r="D254" s="1" t="s">
        <v>52</v>
      </c>
      <c r="E254" s="7">
        <v>0</v>
      </c>
      <c r="F254" s="4">
        <v>2</v>
      </c>
      <c r="G254" s="4"/>
      <c r="H254" s="4"/>
      <c r="I254" s="4"/>
      <c r="J254" s="4"/>
      <c r="K254" s="4"/>
      <c r="L254" s="4"/>
      <c r="M254" s="5">
        <f t="shared" si="35"/>
        <v>0</v>
      </c>
      <c r="N254" s="5">
        <f t="shared" si="36"/>
        <v>0</v>
      </c>
      <c r="O254" s="5">
        <f t="shared" si="37"/>
        <v>0</v>
      </c>
      <c r="P254" s="3">
        <f t="shared" si="38"/>
        <v>0</v>
      </c>
      <c r="Q254" s="6">
        <f t="shared" si="39"/>
        <v>0</v>
      </c>
    </row>
    <row r="255" spans="1:17" x14ac:dyDescent="0.4">
      <c r="A255" s="2">
        <v>46033</v>
      </c>
      <c r="B255" s="1" t="s">
        <v>51</v>
      </c>
      <c r="C255" s="1" t="s">
        <v>50</v>
      </c>
      <c r="D255" s="1" t="s">
        <v>54</v>
      </c>
      <c r="E255" s="7">
        <v>142857.14285714287</v>
      </c>
      <c r="F255" s="4">
        <v>1</v>
      </c>
      <c r="G255" s="4">
        <v>3</v>
      </c>
      <c r="H255" s="4">
        <v>3</v>
      </c>
      <c r="I255" s="4">
        <v>2</v>
      </c>
      <c r="J255" s="4">
        <v>40000</v>
      </c>
      <c r="K255" s="4"/>
      <c r="L255" s="4"/>
      <c r="M255" s="5">
        <f t="shared" si="35"/>
        <v>1</v>
      </c>
      <c r="N255" s="5">
        <f t="shared" si="36"/>
        <v>3</v>
      </c>
      <c r="O255" s="5">
        <f t="shared" si="37"/>
        <v>0.66666666666666663</v>
      </c>
      <c r="P255" s="3">
        <f t="shared" si="38"/>
        <v>47619.047619047626</v>
      </c>
      <c r="Q255" s="6">
        <f t="shared" si="39"/>
        <v>3.36</v>
      </c>
    </row>
    <row r="256" spans="1:17" x14ac:dyDescent="0.4">
      <c r="A256" s="2">
        <v>46033</v>
      </c>
      <c r="B256" s="1" t="s">
        <v>56</v>
      </c>
      <c r="C256" s="1" t="s">
        <v>57</v>
      </c>
      <c r="D256" s="1" t="s">
        <v>59</v>
      </c>
      <c r="E256" s="7">
        <v>195555.55555555556</v>
      </c>
      <c r="F256" s="4">
        <v>6</v>
      </c>
      <c r="G256" s="4">
        <v>1</v>
      </c>
      <c r="H256" s="4">
        <v>1</v>
      </c>
      <c r="I256" s="4">
        <v>1</v>
      </c>
      <c r="J256" s="4">
        <v>10000</v>
      </c>
      <c r="K256" s="4"/>
      <c r="L256" s="4"/>
      <c r="M256" s="5">
        <f t="shared" si="35"/>
        <v>1</v>
      </c>
      <c r="N256" s="5">
        <f t="shared" si="36"/>
        <v>0.16666666666666666</v>
      </c>
      <c r="O256" s="5">
        <f t="shared" si="37"/>
        <v>1</v>
      </c>
      <c r="P256" s="3">
        <f t="shared" si="38"/>
        <v>195555.55555555556</v>
      </c>
      <c r="Q256" s="6">
        <f t="shared" si="39"/>
        <v>0.61363636363636365</v>
      </c>
    </row>
    <row r="257" spans="1:17" x14ac:dyDescent="0.4">
      <c r="A257" s="2">
        <v>46033</v>
      </c>
      <c r="B257" s="1" t="s">
        <v>16</v>
      </c>
      <c r="C257" s="1" t="s">
        <v>58</v>
      </c>
      <c r="D257" s="1" t="s">
        <v>53</v>
      </c>
      <c r="E257" s="7">
        <v>137500</v>
      </c>
      <c r="F257" s="4">
        <v>2</v>
      </c>
      <c r="G257" s="4">
        <v>1</v>
      </c>
      <c r="H257" s="4">
        <v>1</v>
      </c>
      <c r="I257" s="4">
        <v>1</v>
      </c>
      <c r="J257" s="4">
        <v>30000</v>
      </c>
      <c r="K257" s="4"/>
      <c r="L257" s="4"/>
      <c r="M257" s="5">
        <f t="shared" si="35"/>
        <v>1</v>
      </c>
      <c r="N257" s="5">
        <f t="shared" si="36"/>
        <v>0.5</v>
      </c>
      <c r="O257" s="5">
        <f t="shared" si="37"/>
        <v>1</v>
      </c>
      <c r="P257" s="3">
        <f t="shared" si="38"/>
        <v>137500</v>
      </c>
      <c r="Q257" s="6">
        <f t="shared" si="39"/>
        <v>2.6181818181818182</v>
      </c>
    </row>
    <row r="258" spans="1:17" x14ac:dyDescent="0.4">
      <c r="A258" s="2">
        <v>46033</v>
      </c>
      <c r="B258" s="1" t="s">
        <v>19</v>
      </c>
      <c r="C258" s="1" t="s">
        <v>20</v>
      </c>
      <c r="D258" s="1" t="s">
        <v>34</v>
      </c>
      <c r="E258" s="7">
        <v>163829.78723404257</v>
      </c>
      <c r="F258" s="4">
        <v>4</v>
      </c>
      <c r="G258" s="4">
        <v>1</v>
      </c>
      <c r="H258" s="4">
        <v>1</v>
      </c>
      <c r="I258" s="4"/>
      <c r="J258" s="4"/>
      <c r="K258" s="4"/>
      <c r="L258" s="4"/>
      <c r="M258" s="5">
        <f t="shared" si="35"/>
        <v>1</v>
      </c>
      <c r="N258" s="5">
        <f t="shared" si="36"/>
        <v>0.25</v>
      </c>
      <c r="O258" s="5">
        <f t="shared" si="37"/>
        <v>0</v>
      </c>
      <c r="P258" s="3">
        <f t="shared" si="38"/>
        <v>163829.78723404257</v>
      </c>
      <c r="Q258" s="6">
        <f t="shared" si="39"/>
        <v>0</v>
      </c>
    </row>
    <row r="259" spans="1:17" x14ac:dyDescent="0.4">
      <c r="A259" s="2">
        <v>46033</v>
      </c>
      <c r="B259" s="1" t="s">
        <v>23</v>
      </c>
      <c r="C259" s="1" t="s">
        <v>37</v>
      </c>
      <c r="D259" s="1" t="s">
        <v>32</v>
      </c>
      <c r="E259" s="7">
        <v>0</v>
      </c>
      <c r="F259" s="4">
        <v>6</v>
      </c>
      <c r="G259" s="4"/>
      <c r="H259" s="4"/>
      <c r="I259" s="4"/>
      <c r="J259" s="4"/>
      <c r="K259" s="4"/>
      <c r="L259" s="4"/>
      <c r="M259" s="5">
        <f t="shared" si="35"/>
        <v>0</v>
      </c>
      <c r="N259" s="5">
        <f t="shared" si="36"/>
        <v>0</v>
      </c>
      <c r="O259" s="5">
        <f t="shared" si="37"/>
        <v>0</v>
      </c>
      <c r="P259" s="3">
        <f t="shared" si="38"/>
        <v>0</v>
      </c>
      <c r="Q259" s="6">
        <f t="shared" si="39"/>
        <v>0</v>
      </c>
    </row>
    <row r="260" spans="1:17" x14ac:dyDescent="0.4">
      <c r="A260" s="2">
        <v>46033</v>
      </c>
      <c r="B260" s="1" t="s">
        <v>21</v>
      </c>
      <c r="C260" s="1" t="s">
        <v>22</v>
      </c>
      <c r="D260" s="1" t="s">
        <v>32</v>
      </c>
      <c r="E260" s="7">
        <v>283870.96774193551</v>
      </c>
      <c r="F260" s="4">
        <v>9</v>
      </c>
      <c r="G260" s="4"/>
      <c r="H260" s="4"/>
      <c r="I260" s="4"/>
      <c r="J260" s="4"/>
      <c r="K260" s="4"/>
      <c r="L260" s="4"/>
      <c r="M260" s="5">
        <f t="shared" si="35"/>
        <v>0</v>
      </c>
      <c r="N260" s="5">
        <f t="shared" si="36"/>
        <v>0</v>
      </c>
      <c r="O260" s="5">
        <f t="shared" si="37"/>
        <v>0</v>
      </c>
      <c r="P260" s="3">
        <f t="shared" si="38"/>
        <v>0</v>
      </c>
      <c r="Q260" s="6">
        <f t="shared" si="39"/>
        <v>0</v>
      </c>
    </row>
    <row r="261" spans="1:17" x14ac:dyDescent="0.4">
      <c r="A261" s="2">
        <v>46033</v>
      </c>
      <c r="B261" s="1" t="s">
        <v>60</v>
      </c>
      <c r="C261" s="1" t="s">
        <v>63</v>
      </c>
      <c r="D261" s="1" t="s">
        <v>53</v>
      </c>
      <c r="E261" s="7">
        <v>123975.40983606559</v>
      </c>
      <c r="F261" s="4">
        <v>3</v>
      </c>
      <c r="G261" s="4"/>
      <c r="H261" s="4"/>
      <c r="I261" s="4"/>
      <c r="J261" s="4"/>
      <c r="K261" s="4"/>
      <c r="L261" s="4"/>
      <c r="M261" s="5">
        <f t="shared" si="35"/>
        <v>0</v>
      </c>
      <c r="N261" s="5">
        <f t="shared" si="36"/>
        <v>0</v>
      </c>
      <c r="O261" s="5">
        <f t="shared" si="37"/>
        <v>0</v>
      </c>
      <c r="P261" s="3">
        <f t="shared" si="38"/>
        <v>0</v>
      </c>
      <c r="Q261" s="6">
        <f t="shared" si="39"/>
        <v>0</v>
      </c>
    </row>
    <row r="262" spans="1:17" x14ac:dyDescent="0.4">
      <c r="A262" s="2">
        <v>46033</v>
      </c>
      <c r="B262" s="1" t="s">
        <v>61</v>
      </c>
      <c r="C262" s="1" t="s">
        <v>64</v>
      </c>
      <c r="D262" s="1" t="s">
        <v>66</v>
      </c>
      <c r="E262" s="7">
        <v>0</v>
      </c>
      <c r="F262" s="4">
        <v>3</v>
      </c>
      <c r="G262" s="4"/>
      <c r="H262" s="4"/>
      <c r="I262" s="4"/>
      <c r="J262" s="4"/>
      <c r="K262" s="4"/>
      <c r="L262" s="4"/>
      <c r="M262" s="5">
        <f t="shared" si="35"/>
        <v>0</v>
      </c>
      <c r="N262" s="5">
        <f t="shared" si="36"/>
        <v>0</v>
      </c>
      <c r="O262" s="5">
        <f t="shared" si="37"/>
        <v>0</v>
      </c>
      <c r="P262" s="3">
        <f t="shared" si="38"/>
        <v>0</v>
      </c>
      <c r="Q262" s="6">
        <f t="shared" si="39"/>
        <v>0</v>
      </c>
    </row>
    <row r="263" spans="1:17" x14ac:dyDescent="0.4">
      <c r="A263" s="2">
        <v>46033</v>
      </c>
      <c r="B263" s="1" t="s">
        <v>62</v>
      </c>
      <c r="C263" s="1" t="s">
        <v>65</v>
      </c>
      <c r="D263" s="1" t="s">
        <v>67</v>
      </c>
      <c r="E263" s="7">
        <v>211538.46153846156</v>
      </c>
      <c r="F263" s="4">
        <v>2</v>
      </c>
      <c r="G263" s="4"/>
      <c r="H263" s="4"/>
      <c r="I263" s="4"/>
      <c r="J263" s="4"/>
      <c r="K263" s="4"/>
      <c r="L263" s="4"/>
      <c r="M263" s="5">
        <f t="shared" si="35"/>
        <v>0</v>
      </c>
      <c r="N263" s="5">
        <f t="shared" si="36"/>
        <v>0</v>
      </c>
      <c r="O263" s="5">
        <f t="shared" si="37"/>
        <v>0</v>
      </c>
      <c r="P263" s="3">
        <f t="shared" si="38"/>
        <v>0</v>
      </c>
      <c r="Q263" s="6">
        <f t="shared" si="39"/>
        <v>0</v>
      </c>
    </row>
    <row r="264" spans="1:17" x14ac:dyDescent="0.4">
      <c r="A264" s="2">
        <v>46033</v>
      </c>
      <c r="B264" s="1" t="s">
        <v>42</v>
      </c>
      <c r="C264" s="1" t="s">
        <v>38</v>
      </c>
      <c r="D264" s="1" t="s">
        <v>42</v>
      </c>
      <c r="E264" s="7">
        <v>0</v>
      </c>
      <c r="F264" s="4">
        <v>0</v>
      </c>
      <c r="G264" s="4"/>
      <c r="H264" s="4"/>
      <c r="I264" s="4"/>
      <c r="J264" s="4"/>
      <c r="K264" s="4"/>
      <c r="L264" s="4"/>
      <c r="M264" s="5">
        <f t="shared" si="35"/>
        <v>0</v>
      </c>
      <c r="N264" s="5">
        <f t="shared" si="36"/>
        <v>0</v>
      </c>
      <c r="O264" s="5">
        <f t="shared" si="37"/>
        <v>0</v>
      </c>
      <c r="P264" s="3">
        <f t="shared" si="38"/>
        <v>0</v>
      </c>
      <c r="Q264" s="6">
        <f t="shared" si="39"/>
        <v>0</v>
      </c>
    </row>
    <row r="265" spans="1:17" x14ac:dyDescent="0.4">
      <c r="A265" s="2">
        <v>46033</v>
      </c>
      <c r="B265" s="1" t="s">
        <v>7</v>
      </c>
      <c r="C265" s="1" t="s">
        <v>8</v>
      </c>
      <c r="D265" s="1" t="s">
        <v>42</v>
      </c>
      <c r="E265" s="7">
        <v>0</v>
      </c>
      <c r="F265" s="4">
        <v>0</v>
      </c>
      <c r="G265" s="3"/>
      <c r="H265" s="3"/>
      <c r="I265" s="3"/>
      <c r="J265" s="3"/>
      <c r="K265" s="3"/>
      <c r="L265" s="3"/>
      <c r="M265" s="5">
        <f t="shared" si="35"/>
        <v>0</v>
      </c>
      <c r="N265" s="5">
        <f t="shared" si="36"/>
        <v>0</v>
      </c>
      <c r="O265" s="5">
        <f t="shared" si="37"/>
        <v>0</v>
      </c>
      <c r="P265" s="3">
        <f t="shared" si="38"/>
        <v>0</v>
      </c>
      <c r="Q265" s="6">
        <f t="shared" si="39"/>
        <v>0</v>
      </c>
    </row>
    <row r="266" spans="1:17" x14ac:dyDescent="0.4">
      <c r="A266" s="2">
        <v>46034</v>
      </c>
      <c r="B266" s="1" t="s">
        <v>13</v>
      </c>
      <c r="C266" s="1" t="s">
        <v>14</v>
      </c>
      <c r="D266" s="1" t="s">
        <v>31</v>
      </c>
      <c r="E266" s="7">
        <v>1420261.0669693549</v>
      </c>
      <c r="F266" s="4">
        <v>3</v>
      </c>
      <c r="G266" s="4">
        <v>18</v>
      </c>
      <c r="H266" s="4">
        <v>8</v>
      </c>
      <c r="I266" s="4">
        <v>6</v>
      </c>
      <c r="J266" s="4">
        <v>130000</v>
      </c>
      <c r="K266" s="4">
        <v>2</v>
      </c>
      <c r="L266" s="4">
        <v>40000</v>
      </c>
      <c r="M266" s="5">
        <f t="shared" si="35"/>
        <v>0.44444444444444442</v>
      </c>
      <c r="N266" s="5">
        <f t="shared" si="36"/>
        <v>6</v>
      </c>
      <c r="O266" s="5">
        <f t="shared" si="37"/>
        <v>0.75</v>
      </c>
      <c r="P266" s="3">
        <f t="shared" si="38"/>
        <v>78903.392609408605</v>
      </c>
      <c r="Q266" s="6">
        <f t="shared" si="39"/>
        <v>1.0983896103896089</v>
      </c>
    </row>
    <row r="267" spans="1:17" x14ac:dyDescent="0.4">
      <c r="A267" s="2">
        <v>46034</v>
      </c>
      <c r="B267" s="1" t="s">
        <v>11</v>
      </c>
      <c r="C267" s="1" t="s">
        <v>12</v>
      </c>
      <c r="D267" s="1" t="s">
        <v>32</v>
      </c>
      <c r="E267" s="7">
        <v>165413.53383458647</v>
      </c>
      <c r="F267" s="4">
        <v>4</v>
      </c>
      <c r="G267" s="4">
        <v>5</v>
      </c>
      <c r="H267" s="4">
        <v>5</v>
      </c>
      <c r="I267" s="4">
        <v>2</v>
      </c>
      <c r="J267" s="4">
        <v>50000</v>
      </c>
      <c r="K267" s="4">
        <v>1</v>
      </c>
      <c r="L267" s="4">
        <v>20000</v>
      </c>
      <c r="M267" s="5">
        <f t="shared" si="35"/>
        <v>1</v>
      </c>
      <c r="N267" s="5">
        <f t="shared" si="36"/>
        <v>1.25</v>
      </c>
      <c r="O267" s="5">
        <f t="shared" si="37"/>
        <v>0.4</v>
      </c>
      <c r="P267" s="3">
        <f t="shared" si="38"/>
        <v>33082.706766917298</v>
      </c>
      <c r="Q267" s="6">
        <f t="shared" si="39"/>
        <v>3.627272727272727</v>
      </c>
    </row>
    <row r="268" spans="1:17" x14ac:dyDescent="0.4">
      <c r="A268" s="2">
        <v>46034</v>
      </c>
      <c r="B268" s="1" t="s">
        <v>17</v>
      </c>
      <c r="C268" s="1" t="s">
        <v>18</v>
      </c>
      <c r="D268" s="1" t="s">
        <v>53</v>
      </c>
      <c r="E268" s="7">
        <v>177419.35483870967</v>
      </c>
      <c r="F268" s="4">
        <v>4</v>
      </c>
      <c r="G268" s="4"/>
      <c r="H268" s="4"/>
      <c r="I268" s="4"/>
      <c r="J268" s="4"/>
      <c r="K268" s="4"/>
      <c r="L268" s="4"/>
      <c r="M268" s="5">
        <f t="shared" si="35"/>
        <v>0</v>
      </c>
      <c r="N268" s="5">
        <f t="shared" si="36"/>
        <v>0</v>
      </c>
      <c r="O268" s="5">
        <f t="shared" si="37"/>
        <v>0</v>
      </c>
      <c r="P268" s="3">
        <f t="shared" si="38"/>
        <v>0</v>
      </c>
      <c r="Q268" s="6">
        <f t="shared" si="39"/>
        <v>0</v>
      </c>
    </row>
    <row r="269" spans="1:17" x14ac:dyDescent="0.4">
      <c r="A269" s="2">
        <v>46034</v>
      </c>
      <c r="B269" s="1" t="s">
        <v>25</v>
      </c>
      <c r="C269" s="1" t="s">
        <v>35</v>
      </c>
      <c r="D269" s="1" t="s">
        <v>32</v>
      </c>
      <c r="E269" s="7">
        <v>0</v>
      </c>
      <c r="F269" s="4">
        <v>5</v>
      </c>
      <c r="G269" s="4">
        <v>1</v>
      </c>
      <c r="H269" s="4">
        <v>1</v>
      </c>
      <c r="I269" s="4">
        <v>1</v>
      </c>
      <c r="J269" s="4">
        <v>30000</v>
      </c>
      <c r="K269" s="4"/>
      <c r="L269" s="4"/>
      <c r="M269" s="5">
        <f t="shared" si="35"/>
        <v>1</v>
      </c>
      <c r="N269" s="5">
        <f t="shared" si="36"/>
        <v>0.2</v>
      </c>
      <c r="O269" s="5">
        <f t="shared" si="37"/>
        <v>1</v>
      </c>
      <c r="P269" s="3">
        <f t="shared" si="38"/>
        <v>0</v>
      </c>
      <c r="Q269" s="6">
        <f t="shared" si="39"/>
        <v>0</v>
      </c>
    </row>
    <row r="270" spans="1:17" x14ac:dyDescent="0.4">
      <c r="A270" s="2">
        <v>46034</v>
      </c>
      <c r="B270" s="1" t="s">
        <v>24</v>
      </c>
      <c r="C270" s="1" t="s">
        <v>6</v>
      </c>
      <c r="D270" s="1" t="s">
        <v>69</v>
      </c>
      <c r="E270" s="7">
        <v>126635</v>
      </c>
      <c r="F270" s="4">
        <v>4</v>
      </c>
      <c r="G270" s="4" t="s">
        <v>68</v>
      </c>
      <c r="H270" s="4" t="s">
        <v>68</v>
      </c>
      <c r="I270" s="4" t="s">
        <v>68</v>
      </c>
      <c r="J270" s="4" t="s">
        <v>68</v>
      </c>
      <c r="K270" s="4" t="s">
        <v>68</v>
      </c>
      <c r="L270" s="4" t="s">
        <v>68</v>
      </c>
      <c r="M270" s="5">
        <f t="shared" si="35"/>
        <v>0</v>
      </c>
      <c r="N270" s="5">
        <f t="shared" si="36"/>
        <v>0</v>
      </c>
      <c r="O270" s="5">
        <f t="shared" si="37"/>
        <v>0</v>
      </c>
      <c r="P270" s="3">
        <f t="shared" si="38"/>
        <v>0</v>
      </c>
      <c r="Q270" s="6">
        <f t="shared" si="39"/>
        <v>0</v>
      </c>
    </row>
    <row r="271" spans="1:17" x14ac:dyDescent="0.4">
      <c r="A271" s="2">
        <v>46034</v>
      </c>
      <c r="B271" s="1" t="s">
        <v>9</v>
      </c>
      <c r="C271" s="1" t="s">
        <v>6</v>
      </c>
      <c r="D271" s="1" t="s">
        <v>70</v>
      </c>
      <c r="E271" s="7">
        <v>253269</v>
      </c>
      <c r="F271" s="4">
        <v>8</v>
      </c>
      <c r="G271" s="4">
        <v>2</v>
      </c>
      <c r="H271" s="4">
        <v>1</v>
      </c>
      <c r="I271" s="4" t="s">
        <v>68</v>
      </c>
      <c r="J271" s="4" t="s">
        <v>68</v>
      </c>
      <c r="K271" s="4" t="s">
        <v>68</v>
      </c>
      <c r="L271" s="4" t="s">
        <v>68</v>
      </c>
      <c r="M271" s="5">
        <f t="shared" si="35"/>
        <v>0.5</v>
      </c>
      <c r="N271" s="5">
        <f t="shared" si="36"/>
        <v>0.25</v>
      </c>
      <c r="O271" s="5">
        <f t="shared" si="37"/>
        <v>0</v>
      </c>
      <c r="P271" s="3">
        <f t="shared" si="38"/>
        <v>126634.5</v>
      </c>
      <c r="Q271" s="6">
        <f t="shared" si="39"/>
        <v>0</v>
      </c>
    </row>
    <row r="272" spans="1:17" x14ac:dyDescent="0.4">
      <c r="A272" s="2">
        <v>46034</v>
      </c>
      <c r="B272" s="1" t="s">
        <v>15</v>
      </c>
      <c r="C272" s="1" t="s">
        <v>6</v>
      </c>
      <c r="D272" s="1" t="s">
        <v>44</v>
      </c>
      <c r="E272" s="7">
        <v>284928</v>
      </c>
      <c r="F272" s="4">
        <v>9</v>
      </c>
      <c r="G272" s="4">
        <v>2</v>
      </c>
      <c r="H272" s="4" t="s">
        <v>68</v>
      </c>
      <c r="I272" s="4" t="s">
        <v>68</v>
      </c>
      <c r="J272" s="4" t="s">
        <v>68</v>
      </c>
      <c r="K272" s="4" t="s">
        <v>68</v>
      </c>
      <c r="L272" s="4" t="s">
        <v>68</v>
      </c>
      <c r="M272" s="5">
        <f t="shared" si="35"/>
        <v>0</v>
      </c>
      <c r="N272" s="5">
        <f t="shared" si="36"/>
        <v>0.22222222222222221</v>
      </c>
      <c r="O272" s="5">
        <f t="shared" si="37"/>
        <v>0</v>
      </c>
      <c r="P272" s="3">
        <f t="shared" si="38"/>
        <v>142464</v>
      </c>
      <c r="Q272" s="6">
        <f t="shared" si="39"/>
        <v>0</v>
      </c>
    </row>
    <row r="273" spans="1:17" x14ac:dyDescent="0.4">
      <c r="A273" s="2">
        <v>46034</v>
      </c>
      <c r="B273" s="1" t="s">
        <v>10</v>
      </c>
      <c r="C273" s="1" t="s">
        <v>6</v>
      </c>
      <c r="D273" s="1" t="s">
        <v>33</v>
      </c>
      <c r="E273" s="7">
        <v>158293</v>
      </c>
      <c r="F273" s="4">
        <v>5</v>
      </c>
      <c r="G273" s="4">
        <v>2</v>
      </c>
      <c r="H273" s="4" t="s">
        <v>68</v>
      </c>
      <c r="I273" s="4" t="s">
        <v>68</v>
      </c>
      <c r="J273" s="4" t="s">
        <v>68</v>
      </c>
      <c r="K273" s="4" t="s">
        <v>68</v>
      </c>
      <c r="L273" s="4" t="s">
        <v>68</v>
      </c>
      <c r="M273" s="5">
        <f t="shared" si="35"/>
        <v>0</v>
      </c>
      <c r="N273" s="5">
        <f t="shared" si="36"/>
        <v>0.4</v>
      </c>
      <c r="O273" s="5">
        <f t="shared" si="37"/>
        <v>0</v>
      </c>
      <c r="P273" s="3">
        <f t="shared" si="38"/>
        <v>79146.5</v>
      </c>
      <c r="Q273" s="6">
        <f t="shared" si="39"/>
        <v>0</v>
      </c>
    </row>
    <row r="274" spans="1:17" x14ac:dyDescent="0.4">
      <c r="A274" s="2">
        <v>46034</v>
      </c>
      <c r="B274" s="1" t="s">
        <v>74</v>
      </c>
      <c r="C274" s="1" t="s">
        <v>6</v>
      </c>
      <c r="D274" s="1" t="s">
        <v>71</v>
      </c>
      <c r="E274" s="7">
        <v>158293</v>
      </c>
      <c r="F274" s="4">
        <v>5</v>
      </c>
      <c r="G274" s="4" t="s">
        <v>68</v>
      </c>
      <c r="H274" s="4" t="s">
        <v>68</v>
      </c>
      <c r="I274" s="4" t="s">
        <v>68</v>
      </c>
      <c r="J274" s="4" t="s">
        <v>68</v>
      </c>
      <c r="K274" s="4" t="s">
        <v>68</v>
      </c>
      <c r="L274" s="4" t="s">
        <v>68</v>
      </c>
      <c r="M274" s="5">
        <f t="shared" si="35"/>
        <v>0</v>
      </c>
      <c r="N274" s="5">
        <f t="shared" si="36"/>
        <v>0</v>
      </c>
      <c r="O274" s="5">
        <f t="shared" si="37"/>
        <v>0</v>
      </c>
      <c r="P274" s="3">
        <f t="shared" si="38"/>
        <v>0</v>
      </c>
      <c r="Q274" s="6">
        <f t="shared" si="39"/>
        <v>0</v>
      </c>
    </row>
    <row r="275" spans="1:17" x14ac:dyDescent="0.4">
      <c r="A275" s="2">
        <v>46034</v>
      </c>
      <c r="B275" s="1" t="s">
        <v>75</v>
      </c>
      <c r="C275" s="1" t="s">
        <v>6</v>
      </c>
      <c r="D275" s="1" t="s">
        <v>72</v>
      </c>
      <c r="E275" s="7">
        <v>158293</v>
      </c>
      <c r="F275" s="4">
        <v>5</v>
      </c>
      <c r="G275" s="4" t="s">
        <v>68</v>
      </c>
      <c r="H275" s="4" t="s">
        <v>68</v>
      </c>
      <c r="I275" s="4" t="s">
        <v>68</v>
      </c>
      <c r="J275" s="4" t="s">
        <v>68</v>
      </c>
      <c r="K275" s="4" t="s">
        <v>68</v>
      </c>
      <c r="L275" s="4" t="s">
        <v>68</v>
      </c>
      <c r="M275" s="5">
        <f t="shared" si="35"/>
        <v>0</v>
      </c>
      <c r="N275" s="5">
        <f t="shared" si="36"/>
        <v>0</v>
      </c>
      <c r="O275" s="5">
        <f t="shared" si="37"/>
        <v>0</v>
      </c>
      <c r="P275" s="3">
        <f t="shared" si="38"/>
        <v>0</v>
      </c>
      <c r="Q275" s="6">
        <f t="shared" si="39"/>
        <v>0</v>
      </c>
    </row>
    <row r="276" spans="1:17" x14ac:dyDescent="0.4">
      <c r="A276" s="2">
        <v>46034</v>
      </c>
      <c r="B276" s="1" t="s">
        <v>76</v>
      </c>
      <c r="C276" s="1" t="s">
        <v>6</v>
      </c>
      <c r="D276" s="1" t="s">
        <v>73</v>
      </c>
      <c r="E276" s="7">
        <v>158293</v>
      </c>
      <c r="F276" s="4">
        <v>5</v>
      </c>
      <c r="G276" s="4" t="s">
        <v>68</v>
      </c>
      <c r="H276" s="4" t="s">
        <v>68</v>
      </c>
      <c r="I276" s="4" t="s">
        <v>68</v>
      </c>
      <c r="J276" s="4" t="s">
        <v>68</v>
      </c>
      <c r="K276" s="4" t="s">
        <v>68</v>
      </c>
      <c r="L276" s="4" t="s">
        <v>68</v>
      </c>
      <c r="M276" s="5">
        <f t="shared" si="35"/>
        <v>0</v>
      </c>
      <c r="N276" s="5">
        <f t="shared" si="36"/>
        <v>0</v>
      </c>
      <c r="O276" s="5">
        <f t="shared" si="37"/>
        <v>0</v>
      </c>
      <c r="P276" s="3">
        <f t="shared" si="38"/>
        <v>0</v>
      </c>
      <c r="Q276" s="6">
        <f t="shared" si="39"/>
        <v>0</v>
      </c>
    </row>
    <row r="277" spans="1:17" x14ac:dyDescent="0.4">
      <c r="A277" s="2">
        <v>46034</v>
      </c>
      <c r="B277" s="1" t="s">
        <v>5</v>
      </c>
      <c r="C277" s="1" t="s">
        <v>6</v>
      </c>
      <c r="D277" s="1" t="s">
        <v>52</v>
      </c>
      <c r="E277" s="7">
        <v>158293</v>
      </c>
      <c r="F277" s="4">
        <v>5</v>
      </c>
      <c r="G277" s="4">
        <v>3</v>
      </c>
      <c r="H277" s="4">
        <v>2</v>
      </c>
      <c r="I277" s="4">
        <v>1</v>
      </c>
      <c r="J277" s="4">
        <v>20000</v>
      </c>
      <c r="K277" s="4" t="s">
        <v>68</v>
      </c>
      <c r="L277" s="4" t="s">
        <v>68</v>
      </c>
      <c r="M277" s="5">
        <f t="shared" si="35"/>
        <v>0.66666666666666663</v>
      </c>
      <c r="N277" s="5">
        <f t="shared" si="36"/>
        <v>0.6</v>
      </c>
      <c r="O277" s="5">
        <f t="shared" si="37"/>
        <v>0.5</v>
      </c>
      <c r="P277" s="3">
        <f t="shared" si="38"/>
        <v>52764.333333333336</v>
      </c>
      <c r="Q277" s="6">
        <f t="shared" si="39"/>
        <v>1.5161756994939763</v>
      </c>
    </row>
    <row r="278" spans="1:17" x14ac:dyDescent="0.4">
      <c r="A278" s="2">
        <v>46034</v>
      </c>
      <c r="B278" s="1" t="s">
        <v>26</v>
      </c>
      <c r="C278" s="1" t="s">
        <v>36</v>
      </c>
      <c r="D278" s="1" t="s">
        <v>52</v>
      </c>
      <c r="E278" s="7">
        <v>0</v>
      </c>
      <c r="F278" s="4">
        <v>1</v>
      </c>
      <c r="G278" s="4">
        <v>2</v>
      </c>
      <c r="H278" s="4">
        <v>2</v>
      </c>
      <c r="I278" s="4">
        <v>1</v>
      </c>
      <c r="J278" s="4">
        <v>30000</v>
      </c>
      <c r="K278" s="4"/>
      <c r="L278" s="4"/>
      <c r="M278" s="5">
        <f t="shared" si="35"/>
        <v>1</v>
      </c>
      <c r="N278" s="5">
        <f t="shared" si="36"/>
        <v>2</v>
      </c>
      <c r="O278" s="5">
        <f t="shared" si="37"/>
        <v>0.5</v>
      </c>
      <c r="P278" s="3">
        <f t="shared" si="38"/>
        <v>0</v>
      </c>
      <c r="Q278" s="6">
        <f t="shared" si="39"/>
        <v>0</v>
      </c>
    </row>
    <row r="279" spans="1:17" x14ac:dyDescent="0.4">
      <c r="A279" s="2">
        <v>46034</v>
      </c>
      <c r="B279" s="1" t="s">
        <v>51</v>
      </c>
      <c r="C279" s="1" t="s">
        <v>50</v>
      </c>
      <c r="D279" s="1" t="s">
        <v>54</v>
      </c>
      <c r="E279" s="7">
        <v>285714.28571428574</v>
      </c>
      <c r="F279" s="4">
        <v>4</v>
      </c>
      <c r="G279" s="4">
        <v>4</v>
      </c>
      <c r="H279" s="4">
        <v>3</v>
      </c>
      <c r="I279" s="4">
        <v>1</v>
      </c>
      <c r="J279" s="4">
        <v>30000</v>
      </c>
      <c r="K279" s="4"/>
      <c r="L279" s="4"/>
      <c r="M279" s="5">
        <f t="shared" si="35"/>
        <v>0.75</v>
      </c>
      <c r="N279" s="5">
        <f t="shared" si="36"/>
        <v>1</v>
      </c>
      <c r="O279" s="5">
        <f t="shared" si="37"/>
        <v>0.33333333333333331</v>
      </c>
      <c r="P279" s="3">
        <f t="shared" si="38"/>
        <v>71428.571428571435</v>
      </c>
      <c r="Q279" s="6">
        <f t="shared" si="39"/>
        <v>1.2599999999999998</v>
      </c>
    </row>
    <row r="280" spans="1:17" x14ac:dyDescent="0.4">
      <c r="A280" s="2">
        <v>46034</v>
      </c>
      <c r="B280" s="1" t="s">
        <v>56</v>
      </c>
      <c r="C280" s="1" t="s">
        <v>57</v>
      </c>
      <c r="D280" s="1" t="s">
        <v>59</v>
      </c>
      <c r="E280" s="7">
        <v>171111.11111111112</v>
      </c>
      <c r="F280" s="4">
        <v>5</v>
      </c>
      <c r="G280" s="4">
        <v>2</v>
      </c>
      <c r="H280" s="4"/>
      <c r="I280" s="4">
        <v>1</v>
      </c>
      <c r="J280" s="4">
        <v>20000</v>
      </c>
      <c r="K280" s="4"/>
      <c r="L280" s="4"/>
      <c r="M280" s="5">
        <f t="shared" si="35"/>
        <v>0</v>
      </c>
      <c r="N280" s="5">
        <f t="shared" si="36"/>
        <v>0.4</v>
      </c>
      <c r="O280" s="5">
        <f t="shared" si="37"/>
        <v>0</v>
      </c>
      <c r="P280" s="3">
        <f t="shared" si="38"/>
        <v>85555.555555555562</v>
      </c>
      <c r="Q280" s="6">
        <f t="shared" si="39"/>
        <v>1.4025974025974024</v>
      </c>
    </row>
    <row r="281" spans="1:17" x14ac:dyDescent="0.4">
      <c r="A281" s="2">
        <v>46034</v>
      </c>
      <c r="B281" s="1" t="s">
        <v>16</v>
      </c>
      <c r="C281" s="1" t="s">
        <v>58</v>
      </c>
      <c r="D281" s="1" t="s">
        <v>53</v>
      </c>
      <c r="E281" s="7">
        <v>206250.00000000003</v>
      </c>
      <c r="F281" s="4">
        <v>3</v>
      </c>
      <c r="G281" s="4"/>
      <c r="H281" s="4"/>
      <c r="I281" s="4"/>
      <c r="J281" s="4"/>
      <c r="K281" s="4"/>
      <c r="L281" s="4"/>
      <c r="M281" s="5">
        <f t="shared" si="35"/>
        <v>0</v>
      </c>
      <c r="N281" s="5">
        <f t="shared" si="36"/>
        <v>0</v>
      </c>
      <c r="O281" s="5">
        <f t="shared" si="37"/>
        <v>0</v>
      </c>
      <c r="P281" s="3">
        <f t="shared" si="38"/>
        <v>0</v>
      </c>
      <c r="Q281" s="6">
        <f t="shared" si="39"/>
        <v>0</v>
      </c>
    </row>
    <row r="282" spans="1:17" x14ac:dyDescent="0.4">
      <c r="A282" s="2">
        <v>46034</v>
      </c>
      <c r="B282" s="1" t="s">
        <v>19</v>
      </c>
      <c r="C282" s="1" t="s">
        <v>20</v>
      </c>
      <c r="D282" s="1" t="s">
        <v>34</v>
      </c>
      <c r="E282" s="7">
        <v>202836.87943262412</v>
      </c>
      <c r="F282" s="4">
        <v>4</v>
      </c>
      <c r="G282" s="4">
        <v>3</v>
      </c>
      <c r="H282" s="4"/>
      <c r="I282" s="4"/>
      <c r="J282" s="4"/>
      <c r="K282" s="4"/>
      <c r="L282" s="4"/>
      <c r="M282" s="5">
        <f t="shared" si="35"/>
        <v>0</v>
      </c>
      <c r="N282" s="5">
        <f t="shared" si="36"/>
        <v>0.75</v>
      </c>
      <c r="O282" s="5">
        <f t="shared" si="37"/>
        <v>0</v>
      </c>
      <c r="P282" s="3">
        <f t="shared" si="38"/>
        <v>67612.293144208044</v>
      </c>
      <c r="Q282" s="6">
        <f t="shared" si="39"/>
        <v>0</v>
      </c>
    </row>
    <row r="283" spans="1:17" x14ac:dyDescent="0.4">
      <c r="A283" s="2">
        <v>46034</v>
      </c>
      <c r="B283" s="1" t="s">
        <v>23</v>
      </c>
      <c r="C283" s="1" t="s">
        <v>37</v>
      </c>
      <c r="D283" s="1" t="s">
        <v>32</v>
      </c>
      <c r="E283" s="7">
        <v>0</v>
      </c>
      <c r="F283" s="4">
        <v>6</v>
      </c>
      <c r="G283" s="4"/>
      <c r="H283" s="4"/>
      <c r="I283" s="4"/>
      <c r="J283" s="4"/>
      <c r="K283" s="4"/>
      <c r="L283" s="4"/>
      <c r="M283" s="5">
        <f t="shared" si="35"/>
        <v>0</v>
      </c>
      <c r="N283" s="5">
        <f t="shared" si="36"/>
        <v>0</v>
      </c>
      <c r="O283" s="5">
        <f t="shared" si="37"/>
        <v>0</v>
      </c>
      <c r="P283" s="3">
        <f t="shared" si="38"/>
        <v>0</v>
      </c>
      <c r="Q283" s="6">
        <f t="shared" si="39"/>
        <v>0</v>
      </c>
    </row>
    <row r="284" spans="1:17" x14ac:dyDescent="0.4">
      <c r="A284" s="2">
        <v>46034</v>
      </c>
      <c r="B284" s="1" t="s">
        <v>21</v>
      </c>
      <c r="C284" s="1" t="s">
        <v>22</v>
      </c>
      <c r="D284" s="1" t="s">
        <v>32</v>
      </c>
      <c r="E284" s="7">
        <v>283870.96774193551</v>
      </c>
      <c r="F284" s="4">
        <v>9</v>
      </c>
      <c r="G284" s="4">
        <v>5</v>
      </c>
      <c r="H284" s="4">
        <v>4</v>
      </c>
      <c r="I284" s="4">
        <v>2</v>
      </c>
      <c r="J284" s="4">
        <v>30000</v>
      </c>
      <c r="K284" s="4"/>
      <c r="L284" s="4"/>
      <c r="M284" s="5">
        <f t="shared" si="35"/>
        <v>0.8</v>
      </c>
      <c r="N284" s="5">
        <f t="shared" si="36"/>
        <v>0.55555555555555558</v>
      </c>
      <c r="O284" s="5">
        <f t="shared" si="37"/>
        <v>0.5</v>
      </c>
      <c r="P284" s="3">
        <f t="shared" si="38"/>
        <v>56774.193548387106</v>
      </c>
      <c r="Q284" s="6">
        <f t="shared" si="39"/>
        <v>1.2681818181818181</v>
      </c>
    </row>
    <row r="285" spans="1:17" x14ac:dyDescent="0.4">
      <c r="A285" s="2">
        <v>46034</v>
      </c>
      <c r="B285" s="1" t="s">
        <v>60</v>
      </c>
      <c r="C285" s="1" t="s">
        <v>63</v>
      </c>
      <c r="D285" s="1" t="s">
        <v>53</v>
      </c>
      <c r="E285" s="7">
        <v>225409.83606557379</v>
      </c>
      <c r="F285" s="4">
        <v>4</v>
      </c>
      <c r="G285" s="4"/>
      <c r="H285" s="4"/>
      <c r="I285" s="4"/>
      <c r="J285" s="4"/>
      <c r="K285" s="4"/>
      <c r="L285" s="4"/>
      <c r="M285" s="5">
        <f t="shared" si="35"/>
        <v>0</v>
      </c>
      <c r="N285" s="5">
        <f t="shared" si="36"/>
        <v>0</v>
      </c>
      <c r="O285" s="5">
        <f t="shared" si="37"/>
        <v>0</v>
      </c>
      <c r="P285" s="3">
        <f t="shared" si="38"/>
        <v>0</v>
      </c>
      <c r="Q285" s="6">
        <f t="shared" si="39"/>
        <v>0</v>
      </c>
    </row>
    <row r="286" spans="1:17" x14ac:dyDescent="0.4">
      <c r="A286" s="2">
        <v>46034</v>
      </c>
      <c r="B286" s="1" t="s">
        <v>61</v>
      </c>
      <c r="C286" s="1" t="s">
        <v>64</v>
      </c>
      <c r="D286" s="1" t="s">
        <v>66</v>
      </c>
      <c r="E286" s="7">
        <v>0</v>
      </c>
      <c r="F286" s="4">
        <v>8</v>
      </c>
      <c r="G286" s="4"/>
      <c r="H286" s="4"/>
      <c r="I286" s="4"/>
      <c r="J286" s="4"/>
      <c r="K286" s="4"/>
      <c r="L286" s="4"/>
      <c r="M286" s="5">
        <f t="shared" si="35"/>
        <v>0</v>
      </c>
      <c r="N286" s="5">
        <f t="shared" si="36"/>
        <v>0</v>
      </c>
      <c r="O286" s="5">
        <f t="shared" si="37"/>
        <v>0</v>
      </c>
      <c r="P286" s="3">
        <f t="shared" si="38"/>
        <v>0</v>
      </c>
      <c r="Q286" s="6">
        <f t="shared" si="39"/>
        <v>0</v>
      </c>
    </row>
    <row r="287" spans="1:17" x14ac:dyDescent="0.4">
      <c r="A287" s="2">
        <v>46034</v>
      </c>
      <c r="B287" s="1" t="s">
        <v>62</v>
      </c>
      <c r="C287" s="1" t="s">
        <v>65</v>
      </c>
      <c r="D287" s="1" t="s">
        <v>67</v>
      </c>
      <c r="E287" s="7">
        <v>264423.07692307699</v>
      </c>
      <c r="F287" s="4">
        <v>2</v>
      </c>
      <c r="G287" s="4"/>
      <c r="H287" s="4"/>
      <c r="I287" s="4"/>
      <c r="J287" s="4"/>
      <c r="K287" s="4"/>
      <c r="L287" s="4"/>
      <c r="M287" s="5">
        <f t="shared" si="35"/>
        <v>0</v>
      </c>
      <c r="N287" s="5">
        <f t="shared" si="36"/>
        <v>0</v>
      </c>
      <c r="O287" s="5">
        <f t="shared" si="37"/>
        <v>0</v>
      </c>
      <c r="P287" s="3">
        <f t="shared" si="38"/>
        <v>0</v>
      </c>
      <c r="Q287" s="6">
        <f t="shared" si="39"/>
        <v>0</v>
      </c>
    </row>
    <row r="288" spans="1:17" x14ac:dyDescent="0.4">
      <c r="A288" s="2">
        <v>46034</v>
      </c>
      <c r="B288" s="1" t="s">
        <v>42</v>
      </c>
      <c r="C288" s="1" t="s">
        <v>38</v>
      </c>
      <c r="D288" s="1" t="s">
        <v>42</v>
      </c>
      <c r="E288" s="7">
        <v>0</v>
      </c>
      <c r="F288" s="4">
        <v>0</v>
      </c>
      <c r="G288" s="4"/>
      <c r="H288" s="4"/>
      <c r="I288" s="4"/>
      <c r="J288" s="4"/>
      <c r="K288" s="4"/>
      <c r="L288" s="4"/>
      <c r="M288" s="5">
        <f t="shared" si="35"/>
        <v>0</v>
      </c>
      <c r="N288" s="5">
        <f t="shared" si="36"/>
        <v>0</v>
      </c>
      <c r="O288" s="5">
        <f t="shared" si="37"/>
        <v>0</v>
      </c>
      <c r="P288" s="3">
        <f t="shared" si="38"/>
        <v>0</v>
      </c>
      <c r="Q288" s="6">
        <f t="shared" si="39"/>
        <v>0</v>
      </c>
    </row>
    <row r="289" spans="1:17" x14ac:dyDescent="0.4">
      <c r="A289" s="2">
        <v>46034</v>
      </c>
      <c r="B289" s="1" t="s">
        <v>7</v>
      </c>
      <c r="C289" s="1" t="s">
        <v>8</v>
      </c>
      <c r="D289" s="1" t="s">
        <v>42</v>
      </c>
      <c r="E289" s="7">
        <v>0</v>
      </c>
      <c r="F289" s="4">
        <v>0</v>
      </c>
      <c r="G289" s="3">
        <v>8</v>
      </c>
      <c r="H289" s="3">
        <v>1</v>
      </c>
      <c r="I289" s="3"/>
      <c r="J289" s="3"/>
      <c r="K289" s="3"/>
      <c r="L289" s="3"/>
      <c r="M289" s="5">
        <f t="shared" si="35"/>
        <v>0.125</v>
      </c>
      <c r="N289" s="5">
        <f t="shared" si="36"/>
        <v>0</v>
      </c>
      <c r="O289" s="5">
        <f t="shared" si="37"/>
        <v>0</v>
      </c>
      <c r="P289" s="3">
        <f t="shared" si="38"/>
        <v>0</v>
      </c>
      <c r="Q289" s="6">
        <f t="shared" si="39"/>
        <v>0</v>
      </c>
    </row>
    <row r="290" spans="1:17" x14ac:dyDescent="0.4">
      <c r="A290" s="2">
        <v>46035</v>
      </c>
      <c r="B290" s="1" t="s">
        <v>13</v>
      </c>
      <c r="C290" s="1" t="s">
        <v>14</v>
      </c>
      <c r="D290" s="1" t="s">
        <v>31</v>
      </c>
      <c r="E290" s="7">
        <v>1005107.832009082</v>
      </c>
      <c r="F290" s="4">
        <v>3</v>
      </c>
      <c r="G290" s="4">
        <v>10</v>
      </c>
      <c r="H290" s="4">
        <v>6</v>
      </c>
      <c r="I290" s="4">
        <v>4</v>
      </c>
      <c r="J290" s="4">
        <v>70000</v>
      </c>
      <c r="K290" s="4">
        <v>1</v>
      </c>
      <c r="L290" s="4">
        <v>20000</v>
      </c>
      <c r="M290" s="5">
        <f t="shared" si="35"/>
        <v>0.6</v>
      </c>
      <c r="N290" s="5">
        <f t="shared" si="36"/>
        <v>3.3333333333333335</v>
      </c>
      <c r="O290" s="5">
        <f t="shared" si="37"/>
        <v>0.66666666666666663</v>
      </c>
      <c r="P290" s="3">
        <f t="shared" si="38"/>
        <v>100510.78320090819</v>
      </c>
      <c r="Q290" s="6">
        <f t="shared" si="39"/>
        <v>0.8357312252964415</v>
      </c>
    </row>
    <row r="291" spans="1:17" x14ac:dyDescent="0.4">
      <c r="A291" s="2">
        <v>46035</v>
      </c>
      <c r="B291" s="1" t="s">
        <v>11</v>
      </c>
      <c r="C291" s="1" t="s">
        <v>12</v>
      </c>
      <c r="D291" s="1" t="s">
        <v>32</v>
      </c>
      <c r="E291" s="7">
        <v>248120.30075187972</v>
      </c>
      <c r="F291" s="4">
        <v>6</v>
      </c>
      <c r="G291" s="4">
        <v>4</v>
      </c>
      <c r="H291" s="4">
        <v>3</v>
      </c>
      <c r="I291" s="4">
        <v>3</v>
      </c>
      <c r="J291" s="4">
        <v>80000</v>
      </c>
      <c r="K291" s="4"/>
      <c r="L291" s="4"/>
      <c r="M291" s="5">
        <f t="shared" si="35"/>
        <v>0.75</v>
      </c>
      <c r="N291" s="5">
        <f t="shared" si="36"/>
        <v>0.66666666666666663</v>
      </c>
      <c r="O291" s="5">
        <f t="shared" si="37"/>
        <v>1</v>
      </c>
      <c r="P291" s="3">
        <f t="shared" si="38"/>
        <v>62030.075187969931</v>
      </c>
      <c r="Q291" s="6">
        <f t="shared" si="39"/>
        <v>3.8690909090909087</v>
      </c>
    </row>
    <row r="292" spans="1:17" x14ac:dyDescent="0.4">
      <c r="A292" s="2">
        <v>46035</v>
      </c>
      <c r="B292" s="1" t="s">
        <v>17</v>
      </c>
      <c r="C292" s="1" t="s">
        <v>18</v>
      </c>
      <c r="D292" s="1" t="s">
        <v>53</v>
      </c>
      <c r="E292" s="7">
        <v>177419.35483870967</v>
      </c>
      <c r="F292" s="4">
        <v>4</v>
      </c>
      <c r="G292" s="4"/>
      <c r="H292" s="4"/>
      <c r="I292" s="4"/>
      <c r="J292" s="4"/>
      <c r="K292" s="4"/>
      <c r="L292" s="4"/>
      <c r="M292" s="5">
        <f t="shared" si="35"/>
        <v>0</v>
      </c>
      <c r="N292" s="5">
        <f t="shared" si="36"/>
        <v>0</v>
      </c>
      <c r="O292" s="5">
        <f t="shared" si="37"/>
        <v>0</v>
      </c>
      <c r="P292" s="3">
        <f t="shared" si="38"/>
        <v>0</v>
      </c>
      <c r="Q292" s="6">
        <f t="shared" si="39"/>
        <v>0</v>
      </c>
    </row>
    <row r="293" spans="1:17" x14ac:dyDescent="0.4">
      <c r="A293" s="2">
        <v>46035</v>
      </c>
      <c r="B293" s="1" t="s">
        <v>25</v>
      </c>
      <c r="C293" s="1" t="s">
        <v>35</v>
      </c>
      <c r="D293" s="1" t="s">
        <v>32</v>
      </c>
      <c r="E293" s="7">
        <v>0</v>
      </c>
      <c r="F293" s="4">
        <v>5</v>
      </c>
      <c r="G293" s="4"/>
      <c r="H293" s="4"/>
      <c r="I293" s="4"/>
      <c r="J293" s="4"/>
      <c r="K293" s="4"/>
      <c r="L293" s="4"/>
      <c r="M293" s="5">
        <f t="shared" si="35"/>
        <v>0</v>
      </c>
      <c r="N293" s="5">
        <f t="shared" si="36"/>
        <v>0</v>
      </c>
      <c r="O293" s="5">
        <f t="shared" si="37"/>
        <v>0</v>
      </c>
      <c r="P293" s="3">
        <f t="shared" si="38"/>
        <v>0</v>
      </c>
      <c r="Q293" s="6">
        <f t="shared" si="39"/>
        <v>0</v>
      </c>
    </row>
    <row r="294" spans="1:17" x14ac:dyDescent="0.4">
      <c r="A294" s="2">
        <v>46035</v>
      </c>
      <c r="B294" s="1" t="s">
        <v>24</v>
      </c>
      <c r="C294" s="1" t="s">
        <v>6</v>
      </c>
      <c r="D294" s="1" t="s">
        <v>69</v>
      </c>
      <c r="E294" s="7">
        <v>205798</v>
      </c>
      <c r="F294" s="4">
        <v>5</v>
      </c>
      <c r="G294" s="4">
        <v>2</v>
      </c>
      <c r="H294" s="4">
        <v>2</v>
      </c>
      <c r="I294" s="4">
        <v>1</v>
      </c>
      <c r="J294" s="4">
        <v>10000</v>
      </c>
      <c r="K294" s="4" t="s">
        <v>68</v>
      </c>
      <c r="L294" s="4" t="s">
        <v>68</v>
      </c>
      <c r="M294" s="5">
        <f t="shared" si="35"/>
        <v>1</v>
      </c>
      <c r="N294" s="5">
        <f t="shared" si="36"/>
        <v>0.4</v>
      </c>
      <c r="O294" s="5">
        <f t="shared" si="37"/>
        <v>0.5</v>
      </c>
      <c r="P294" s="3">
        <f t="shared" si="38"/>
        <v>102899</v>
      </c>
      <c r="Q294" s="6">
        <f t="shared" si="39"/>
        <v>0.58309604563698381</v>
      </c>
    </row>
    <row r="295" spans="1:17" x14ac:dyDescent="0.4">
      <c r="A295" s="2">
        <v>46035</v>
      </c>
      <c r="B295" s="1" t="s">
        <v>9</v>
      </c>
      <c r="C295" s="1" t="s">
        <v>6</v>
      </c>
      <c r="D295" s="1" t="s">
        <v>70</v>
      </c>
      <c r="E295" s="7">
        <v>370437</v>
      </c>
      <c r="F295" s="4">
        <v>9</v>
      </c>
      <c r="G295" s="4">
        <v>5</v>
      </c>
      <c r="H295" s="4">
        <v>5</v>
      </c>
      <c r="I295" s="4">
        <v>1</v>
      </c>
      <c r="J295" s="4">
        <v>30000</v>
      </c>
      <c r="K295" s="4">
        <v>1</v>
      </c>
      <c r="L295" s="4">
        <v>20000</v>
      </c>
      <c r="M295" s="5">
        <f t="shared" si="35"/>
        <v>1</v>
      </c>
      <c r="N295" s="5">
        <f t="shared" si="36"/>
        <v>0.55555555555555558</v>
      </c>
      <c r="O295" s="5">
        <f t="shared" si="37"/>
        <v>0.2</v>
      </c>
      <c r="P295" s="3">
        <f t="shared" si="38"/>
        <v>74087.399999999994</v>
      </c>
      <c r="Q295" s="6">
        <f t="shared" si="39"/>
        <v>0.97182516865215951</v>
      </c>
    </row>
    <row r="296" spans="1:17" x14ac:dyDescent="0.4">
      <c r="A296" s="2">
        <v>46035</v>
      </c>
      <c r="B296" s="1" t="s">
        <v>15</v>
      </c>
      <c r="C296" s="1" t="s">
        <v>6</v>
      </c>
      <c r="D296" s="1" t="s">
        <v>44</v>
      </c>
      <c r="E296" s="7">
        <v>370437</v>
      </c>
      <c r="F296" s="4">
        <v>9</v>
      </c>
      <c r="G296" s="4">
        <v>1</v>
      </c>
      <c r="H296" s="4">
        <v>1</v>
      </c>
      <c r="I296" s="4" t="s">
        <v>68</v>
      </c>
      <c r="J296" s="4" t="s">
        <v>68</v>
      </c>
      <c r="K296" s="4">
        <v>1</v>
      </c>
      <c r="L296" s="4">
        <v>20000</v>
      </c>
      <c r="M296" s="5">
        <f t="shared" si="35"/>
        <v>1</v>
      </c>
      <c r="N296" s="5">
        <f t="shared" si="36"/>
        <v>0.1111111111111111</v>
      </c>
      <c r="O296" s="5">
        <f t="shared" si="37"/>
        <v>0</v>
      </c>
      <c r="P296" s="3">
        <f t="shared" si="38"/>
        <v>370437</v>
      </c>
      <c r="Q296" s="6">
        <f t="shared" si="39"/>
        <v>0</v>
      </c>
    </row>
    <row r="297" spans="1:17" x14ac:dyDescent="0.4">
      <c r="A297" s="2">
        <v>46035</v>
      </c>
      <c r="B297" s="1" t="s">
        <v>10</v>
      </c>
      <c r="C297" s="1" t="s">
        <v>6</v>
      </c>
      <c r="D297" s="1" t="s">
        <v>33</v>
      </c>
      <c r="E297" s="7">
        <v>164639</v>
      </c>
      <c r="F297" s="4">
        <v>4</v>
      </c>
      <c r="G297" s="4">
        <v>4</v>
      </c>
      <c r="H297" s="4">
        <v>4</v>
      </c>
      <c r="I297" s="4">
        <v>1</v>
      </c>
      <c r="J297" s="4">
        <v>20000</v>
      </c>
      <c r="K297" s="4" t="s">
        <v>68</v>
      </c>
      <c r="L297" s="4" t="s">
        <v>68</v>
      </c>
      <c r="M297" s="5">
        <f t="shared" si="35"/>
        <v>1</v>
      </c>
      <c r="N297" s="5">
        <f t="shared" si="36"/>
        <v>1</v>
      </c>
      <c r="O297" s="5">
        <f t="shared" si="37"/>
        <v>0.25</v>
      </c>
      <c r="P297" s="3">
        <f t="shared" si="38"/>
        <v>41159.75</v>
      </c>
      <c r="Q297" s="6">
        <f t="shared" si="39"/>
        <v>1.4577348015962197</v>
      </c>
    </row>
    <row r="298" spans="1:17" x14ac:dyDescent="0.4">
      <c r="A298" s="2">
        <v>46035</v>
      </c>
      <c r="B298" s="1" t="s">
        <v>74</v>
      </c>
      <c r="C298" s="1" t="s">
        <v>6</v>
      </c>
      <c r="D298" s="1" t="s">
        <v>71</v>
      </c>
      <c r="E298" s="7">
        <v>205798</v>
      </c>
      <c r="F298" s="4">
        <v>5</v>
      </c>
      <c r="G298" s="4" t="s">
        <v>68</v>
      </c>
      <c r="H298" s="4" t="s">
        <v>68</v>
      </c>
      <c r="I298" s="4" t="s">
        <v>68</v>
      </c>
      <c r="J298" s="4" t="s">
        <v>68</v>
      </c>
      <c r="K298" s="4" t="s">
        <v>68</v>
      </c>
      <c r="L298" s="4" t="s">
        <v>68</v>
      </c>
      <c r="M298" s="5">
        <f t="shared" si="35"/>
        <v>0</v>
      </c>
      <c r="N298" s="5">
        <f t="shared" si="36"/>
        <v>0</v>
      </c>
      <c r="O298" s="5">
        <f t="shared" si="37"/>
        <v>0</v>
      </c>
      <c r="P298" s="3">
        <f t="shared" si="38"/>
        <v>0</v>
      </c>
      <c r="Q298" s="6">
        <f t="shared" si="39"/>
        <v>0</v>
      </c>
    </row>
    <row r="299" spans="1:17" x14ac:dyDescent="0.4">
      <c r="A299" s="2">
        <v>46035</v>
      </c>
      <c r="B299" s="1" t="s">
        <v>75</v>
      </c>
      <c r="C299" s="1" t="s">
        <v>6</v>
      </c>
      <c r="D299" s="1" t="s">
        <v>72</v>
      </c>
      <c r="E299" s="7">
        <v>164639</v>
      </c>
      <c r="F299" s="4">
        <v>4</v>
      </c>
      <c r="G299" s="4" t="s">
        <v>68</v>
      </c>
      <c r="H299" s="4" t="s">
        <v>68</v>
      </c>
      <c r="I299" s="4" t="s">
        <v>68</v>
      </c>
      <c r="J299" s="4" t="s">
        <v>68</v>
      </c>
      <c r="K299" s="4" t="s">
        <v>68</v>
      </c>
      <c r="L299" s="4" t="s">
        <v>68</v>
      </c>
      <c r="M299" s="5">
        <f t="shared" si="35"/>
        <v>0</v>
      </c>
      <c r="N299" s="5">
        <f t="shared" si="36"/>
        <v>0</v>
      </c>
      <c r="O299" s="5">
        <f t="shared" si="37"/>
        <v>0</v>
      </c>
      <c r="P299" s="3">
        <f t="shared" si="38"/>
        <v>0</v>
      </c>
      <c r="Q299" s="6">
        <f t="shared" si="39"/>
        <v>0</v>
      </c>
    </row>
    <row r="300" spans="1:17" x14ac:dyDescent="0.4">
      <c r="A300" s="2">
        <v>46035</v>
      </c>
      <c r="B300" s="1" t="s">
        <v>76</v>
      </c>
      <c r="C300" s="1" t="s">
        <v>6</v>
      </c>
      <c r="D300" s="1" t="s">
        <v>73</v>
      </c>
      <c r="E300" s="7">
        <v>164639</v>
      </c>
      <c r="F300" s="4">
        <v>4</v>
      </c>
      <c r="G300" s="4" t="s">
        <v>68</v>
      </c>
      <c r="H300" s="4" t="s">
        <v>68</v>
      </c>
      <c r="I300" s="4" t="s">
        <v>68</v>
      </c>
      <c r="J300" s="4" t="s">
        <v>68</v>
      </c>
      <c r="K300" s="4" t="s">
        <v>68</v>
      </c>
      <c r="L300" s="4" t="s">
        <v>68</v>
      </c>
      <c r="M300" s="5">
        <f t="shared" si="35"/>
        <v>0</v>
      </c>
      <c r="N300" s="5">
        <f t="shared" si="36"/>
        <v>0</v>
      </c>
      <c r="O300" s="5">
        <f t="shared" si="37"/>
        <v>0</v>
      </c>
      <c r="P300" s="3">
        <f t="shared" si="38"/>
        <v>0</v>
      </c>
      <c r="Q300" s="6">
        <f t="shared" si="39"/>
        <v>0</v>
      </c>
    </row>
    <row r="301" spans="1:17" x14ac:dyDescent="0.4">
      <c r="A301" s="2">
        <v>46035</v>
      </c>
      <c r="B301" s="1" t="s">
        <v>5</v>
      </c>
      <c r="C301" s="1" t="s">
        <v>6</v>
      </c>
      <c r="D301" s="1" t="s">
        <v>52</v>
      </c>
      <c r="E301" s="7">
        <v>205798</v>
      </c>
      <c r="F301" s="4">
        <v>5</v>
      </c>
      <c r="G301" s="4">
        <v>2</v>
      </c>
      <c r="H301" s="4">
        <v>2</v>
      </c>
      <c r="I301" s="4">
        <v>1</v>
      </c>
      <c r="J301" s="4">
        <v>25000</v>
      </c>
      <c r="K301" s="4" t="s">
        <v>68</v>
      </c>
      <c r="L301" s="4" t="s">
        <v>68</v>
      </c>
      <c r="M301" s="5">
        <f t="shared" si="35"/>
        <v>1</v>
      </c>
      <c r="N301" s="5">
        <f t="shared" si="36"/>
        <v>0.4</v>
      </c>
      <c r="O301" s="5">
        <f t="shared" si="37"/>
        <v>0.5</v>
      </c>
      <c r="P301" s="3">
        <f t="shared" si="38"/>
        <v>102899</v>
      </c>
      <c r="Q301" s="6">
        <f t="shared" si="39"/>
        <v>1.4577401140924595</v>
      </c>
    </row>
    <row r="302" spans="1:17" x14ac:dyDescent="0.4">
      <c r="A302" s="2">
        <v>46035</v>
      </c>
      <c r="B302" s="1" t="s">
        <v>26</v>
      </c>
      <c r="C302" s="1" t="s">
        <v>36</v>
      </c>
      <c r="D302" s="1" t="s">
        <v>52</v>
      </c>
      <c r="E302" s="7">
        <v>0</v>
      </c>
      <c r="F302" s="4">
        <v>1</v>
      </c>
      <c r="G302" s="4">
        <v>2</v>
      </c>
      <c r="H302" s="4">
        <v>2</v>
      </c>
      <c r="I302" s="4"/>
      <c r="J302" s="4"/>
      <c r="K302" s="4">
        <v>1</v>
      </c>
      <c r="L302" s="4">
        <v>20000</v>
      </c>
      <c r="M302" s="5">
        <f t="shared" si="35"/>
        <v>1</v>
      </c>
      <c r="N302" s="5">
        <f t="shared" si="36"/>
        <v>2</v>
      </c>
      <c r="O302" s="5">
        <f t="shared" si="37"/>
        <v>0</v>
      </c>
      <c r="P302" s="3">
        <f t="shared" si="38"/>
        <v>0</v>
      </c>
      <c r="Q302" s="6">
        <f t="shared" si="39"/>
        <v>0</v>
      </c>
    </row>
    <row r="303" spans="1:17" x14ac:dyDescent="0.4">
      <c r="A303" s="2">
        <v>46035</v>
      </c>
      <c r="B303" s="1" t="s">
        <v>51</v>
      </c>
      <c r="C303" s="1" t="s">
        <v>50</v>
      </c>
      <c r="D303" s="1" t="s">
        <v>54</v>
      </c>
      <c r="E303" s="7">
        <v>142857.14285714287</v>
      </c>
      <c r="F303" s="4">
        <v>1</v>
      </c>
      <c r="G303" s="4">
        <v>3</v>
      </c>
      <c r="H303" s="4">
        <v>1</v>
      </c>
      <c r="I303" s="4">
        <v>1</v>
      </c>
      <c r="J303" s="4">
        <v>20000</v>
      </c>
      <c r="K303" s="4"/>
      <c r="L303" s="4"/>
      <c r="M303" s="5">
        <f t="shared" si="35"/>
        <v>0.33333333333333331</v>
      </c>
      <c r="N303" s="5">
        <f t="shared" si="36"/>
        <v>3</v>
      </c>
      <c r="O303" s="5">
        <f t="shared" si="37"/>
        <v>1</v>
      </c>
      <c r="P303" s="3">
        <f t="shared" si="38"/>
        <v>47619.047619047626</v>
      </c>
      <c r="Q303" s="6">
        <f t="shared" si="39"/>
        <v>1.68</v>
      </c>
    </row>
    <row r="304" spans="1:17" x14ac:dyDescent="0.4">
      <c r="A304" s="2">
        <v>46035</v>
      </c>
      <c r="B304" s="1" t="s">
        <v>56</v>
      </c>
      <c r="C304" s="1" t="s">
        <v>57</v>
      </c>
      <c r="D304" s="1" t="s">
        <v>59</v>
      </c>
      <c r="E304" s="7">
        <v>171111.11111111112</v>
      </c>
      <c r="F304" s="4">
        <v>5</v>
      </c>
      <c r="G304" s="4">
        <v>4</v>
      </c>
      <c r="H304" s="4">
        <v>4</v>
      </c>
      <c r="I304" s="4"/>
      <c r="J304" s="4"/>
      <c r="K304" s="4">
        <v>1</v>
      </c>
      <c r="L304" s="4">
        <v>300000</v>
      </c>
      <c r="M304" s="5">
        <f t="shared" si="35"/>
        <v>1</v>
      </c>
      <c r="N304" s="5">
        <f t="shared" si="36"/>
        <v>0.8</v>
      </c>
      <c r="O304" s="5">
        <f t="shared" si="37"/>
        <v>0</v>
      </c>
      <c r="P304" s="3">
        <f t="shared" si="38"/>
        <v>42777.777777777781</v>
      </c>
      <c r="Q304" s="6">
        <f t="shared" si="39"/>
        <v>0</v>
      </c>
    </row>
    <row r="305" spans="1:17" x14ac:dyDescent="0.4">
      <c r="A305" s="2">
        <v>46035</v>
      </c>
      <c r="B305" s="1" t="s">
        <v>16</v>
      </c>
      <c r="C305" s="1" t="s">
        <v>58</v>
      </c>
      <c r="D305" s="1" t="s">
        <v>53</v>
      </c>
      <c r="E305" s="7">
        <v>206250.00000000003</v>
      </c>
      <c r="F305" s="4">
        <v>3</v>
      </c>
      <c r="G305" s="4">
        <v>1</v>
      </c>
      <c r="H305" s="4">
        <v>1</v>
      </c>
      <c r="I305" s="4"/>
      <c r="J305" s="4"/>
      <c r="K305" s="4"/>
      <c r="L305" s="4"/>
      <c r="M305" s="5">
        <f t="shared" si="35"/>
        <v>1</v>
      </c>
      <c r="N305" s="5">
        <f t="shared" si="36"/>
        <v>0.33333333333333331</v>
      </c>
      <c r="O305" s="5">
        <f t="shared" si="37"/>
        <v>0</v>
      </c>
      <c r="P305" s="3">
        <f t="shared" si="38"/>
        <v>206250.00000000003</v>
      </c>
      <c r="Q305" s="6">
        <f t="shared" si="39"/>
        <v>0</v>
      </c>
    </row>
    <row r="306" spans="1:17" x14ac:dyDescent="0.4">
      <c r="A306" s="2">
        <v>46035</v>
      </c>
      <c r="B306" s="1" t="s">
        <v>19</v>
      </c>
      <c r="C306" s="1" t="s">
        <v>20</v>
      </c>
      <c r="D306" s="1" t="s">
        <v>34</v>
      </c>
      <c r="E306" s="7">
        <v>148226.95035460993</v>
      </c>
      <c r="F306" s="4">
        <v>4</v>
      </c>
      <c r="G306" s="4">
        <v>1</v>
      </c>
      <c r="H306" s="4">
        <v>1</v>
      </c>
      <c r="I306" s="4">
        <v>1</v>
      </c>
      <c r="J306" s="4">
        <v>30000</v>
      </c>
      <c r="K306" s="4"/>
      <c r="L306" s="4"/>
      <c r="M306" s="5">
        <f t="shared" si="35"/>
        <v>1</v>
      </c>
      <c r="N306" s="5">
        <f t="shared" si="36"/>
        <v>0.25</v>
      </c>
      <c r="O306" s="5">
        <f t="shared" si="37"/>
        <v>1</v>
      </c>
      <c r="P306" s="3">
        <f t="shared" si="38"/>
        <v>148226.95035460993</v>
      </c>
      <c r="Q306" s="6">
        <f t="shared" si="39"/>
        <v>2.4287081339712917</v>
      </c>
    </row>
    <row r="307" spans="1:17" x14ac:dyDescent="0.4">
      <c r="A307" s="2">
        <v>46035</v>
      </c>
      <c r="B307" s="1" t="s">
        <v>23</v>
      </c>
      <c r="C307" s="1" t="s">
        <v>37</v>
      </c>
      <c r="D307" s="1" t="s">
        <v>32</v>
      </c>
      <c r="E307" s="7">
        <v>0</v>
      </c>
      <c r="F307" s="4">
        <v>6</v>
      </c>
      <c r="G307" s="4"/>
      <c r="H307" s="4"/>
      <c r="I307" s="4"/>
      <c r="J307" s="4"/>
      <c r="K307" s="4"/>
      <c r="L307" s="4"/>
      <c r="M307" s="5">
        <f t="shared" si="35"/>
        <v>0</v>
      </c>
      <c r="N307" s="5">
        <f t="shared" si="36"/>
        <v>0</v>
      </c>
      <c r="O307" s="5">
        <f t="shared" si="37"/>
        <v>0</v>
      </c>
      <c r="P307" s="3">
        <f t="shared" si="38"/>
        <v>0</v>
      </c>
      <c r="Q307" s="6">
        <f t="shared" si="39"/>
        <v>0</v>
      </c>
    </row>
    <row r="308" spans="1:17" x14ac:dyDescent="0.4">
      <c r="A308" s="2">
        <v>46035</v>
      </c>
      <c r="B308" s="1" t="s">
        <v>21</v>
      </c>
      <c r="C308" s="1" t="s">
        <v>22</v>
      </c>
      <c r="D308" s="1" t="s">
        <v>32</v>
      </c>
      <c r="E308" s="7">
        <v>283870.96774193551</v>
      </c>
      <c r="F308" s="4">
        <v>9</v>
      </c>
      <c r="G308" s="4">
        <v>5</v>
      </c>
      <c r="H308" s="4">
        <v>5</v>
      </c>
      <c r="I308" s="4">
        <v>3</v>
      </c>
      <c r="J308" s="4">
        <v>80000</v>
      </c>
      <c r="K308" s="4">
        <v>1</v>
      </c>
      <c r="L308" s="4">
        <v>20000</v>
      </c>
      <c r="M308" s="5">
        <f t="shared" si="35"/>
        <v>1</v>
      </c>
      <c r="N308" s="5">
        <f t="shared" si="36"/>
        <v>0.55555555555555558</v>
      </c>
      <c r="O308" s="5">
        <f t="shared" si="37"/>
        <v>0.6</v>
      </c>
      <c r="P308" s="3">
        <f t="shared" si="38"/>
        <v>56774.193548387106</v>
      </c>
      <c r="Q308" s="6">
        <f t="shared" si="39"/>
        <v>3.3818181818181814</v>
      </c>
    </row>
    <row r="309" spans="1:17" x14ac:dyDescent="0.4">
      <c r="A309" s="2">
        <v>46035</v>
      </c>
      <c r="B309" s="1" t="s">
        <v>60</v>
      </c>
      <c r="C309" s="1" t="s">
        <v>63</v>
      </c>
      <c r="D309" s="1" t="s">
        <v>53</v>
      </c>
      <c r="E309" s="7">
        <v>169057.37704918033</v>
      </c>
      <c r="F309" s="4">
        <v>3</v>
      </c>
      <c r="G309" s="4">
        <v>1</v>
      </c>
      <c r="H309" s="4">
        <v>1</v>
      </c>
      <c r="I309" s="4"/>
      <c r="J309" s="4"/>
      <c r="K309" s="4"/>
      <c r="L309" s="4"/>
      <c r="M309" s="5">
        <f t="shared" si="35"/>
        <v>1</v>
      </c>
      <c r="N309" s="5">
        <f t="shared" si="36"/>
        <v>0.33333333333333331</v>
      </c>
      <c r="O309" s="5">
        <f t="shared" si="37"/>
        <v>0</v>
      </c>
      <c r="P309" s="3">
        <f t="shared" si="38"/>
        <v>169057.37704918033</v>
      </c>
      <c r="Q309" s="6">
        <f t="shared" si="39"/>
        <v>0</v>
      </c>
    </row>
    <row r="310" spans="1:17" x14ac:dyDescent="0.4">
      <c r="A310" s="2">
        <v>46035</v>
      </c>
      <c r="B310" s="1" t="s">
        <v>61</v>
      </c>
      <c r="C310" s="1" t="s">
        <v>64</v>
      </c>
      <c r="D310" s="1" t="s">
        <v>66</v>
      </c>
      <c r="E310" s="7">
        <v>0</v>
      </c>
      <c r="F310" s="4">
        <v>8</v>
      </c>
      <c r="G310" s="4">
        <v>1</v>
      </c>
      <c r="H310" s="4">
        <v>1</v>
      </c>
      <c r="I310" s="4"/>
      <c r="J310" s="4"/>
      <c r="K310" s="4"/>
      <c r="L310" s="4"/>
      <c r="M310" s="5">
        <f t="shared" si="35"/>
        <v>1</v>
      </c>
      <c r="N310" s="5">
        <f t="shared" si="36"/>
        <v>0.125</v>
      </c>
      <c r="O310" s="5">
        <f t="shared" si="37"/>
        <v>0</v>
      </c>
      <c r="P310" s="3">
        <f t="shared" si="38"/>
        <v>0</v>
      </c>
      <c r="Q310" s="6">
        <f t="shared" si="39"/>
        <v>0</v>
      </c>
    </row>
    <row r="311" spans="1:17" x14ac:dyDescent="0.4">
      <c r="A311" s="2">
        <v>46035</v>
      </c>
      <c r="B311" s="1" t="s">
        <v>62</v>
      </c>
      <c r="C311" s="1" t="s">
        <v>65</v>
      </c>
      <c r="D311" s="1" t="s">
        <v>67</v>
      </c>
      <c r="E311" s="7">
        <v>264423.07692307699</v>
      </c>
      <c r="F311" s="4">
        <v>2</v>
      </c>
      <c r="G311" s="4"/>
      <c r="H311" s="4"/>
      <c r="I311" s="4"/>
      <c r="J311" s="4"/>
      <c r="K311" s="4"/>
      <c r="L311" s="4"/>
      <c r="M311" s="5">
        <f t="shared" si="35"/>
        <v>0</v>
      </c>
      <c r="N311" s="5">
        <f t="shared" si="36"/>
        <v>0</v>
      </c>
      <c r="O311" s="5">
        <f t="shared" si="37"/>
        <v>0</v>
      </c>
      <c r="P311" s="3">
        <f t="shared" si="38"/>
        <v>0</v>
      </c>
      <c r="Q311" s="6">
        <f t="shared" si="39"/>
        <v>0</v>
      </c>
    </row>
    <row r="312" spans="1:17" x14ac:dyDescent="0.4">
      <c r="A312" s="2">
        <v>46035</v>
      </c>
      <c r="B312" s="1" t="s">
        <v>42</v>
      </c>
      <c r="C312" s="1" t="s">
        <v>38</v>
      </c>
      <c r="D312" s="1" t="s">
        <v>42</v>
      </c>
      <c r="E312" s="7">
        <v>0</v>
      </c>
      <c r="F312" s="4">
        <v>0</v>
      </c>
      <c r="G312" s="4"/>
      <c r="H312" s="4"/>
      <c r="I312" s="4"/>
      <c r="J312" s="4"/>
      <c r="K312" s="4"/>
      <c r="L312" s="4"/>
      <c r="M312" s="5">
        <f t="shared" si="35"/>
        <v>0</v>
      </c>
      <c r="N312" s="5">
        <f t="shared" si="36"/>
        <v>0</v>
      </c>
      <c r="O312" s="5">
        <f t="shared" si="37"/>
        <v>0</v>
      </c>
      <c r="P312" s="3">
        <f t="shared" si="38"/>
        <v>0</v>
      </c>
      <c r="Q312" s="6">
        <f t="shared" si="39"/>
        <v>0</v>
      </c>
    </row>
    <row r="313" spans="1:17" x14ac:dyDescent="0.4">
      <c r="A313" s="2">
        <v>46035</v>
      </c>
      <c r="B313" s="1" t="s">
        <v>7</v>
      </c>
      <c r="C313" s="1" t="s">
        <v>8</v>
      </c>
      <c r="D313" s="1" t="s">
        <v>42</v>
      </c>
      <c r="E313" s="7">
        <v>0</v>
      </c>
      <c r="F313" s="4">
        <v>0</v>
      </c>
      <c r="G313" s="3">
        <v>2</v>
      </c>
      <c r="H313" s="3">
        <v>1</v>
      </c>
      <c r="I313" s="3"/>
      <c r="J313" s="3"/>
      <c r="K313" s="3"/>
      <c r="L313" s="3"/>
      <c r="M313" s="5">
        <f t="shared" si="35"/>
        <v>0.5</v>
      </c>
      <c r="N313" s="5">
        <f t="shared" si="36"/>
        <v>0</v>
      </c>
      <c r="O313" s="5">
        <f t="shared" si="37"/>
        <v>0</v>
      </c>
      <c r="P313" s="3">
        <f t="shared" si="38"/>
        <v>0</v>
      </c>
      <c r="Q313" s="6">
        <f t="shared" si="39"/>
        <v>0</v>
      </c>
    </row>
    <row r="314" spans="1:17" x14ac:dyDescent="0.4">
      <c r="A314" s="2">
        <v>46036</v>
      </c>
      <c r="B314" s="1" t="s">
        <v>13</v>
      </c>
      <c r="C314" s="1" t="s">
        <v>14</v>
      </c>
      <c r="D314" s="1" t="s">
        <v>31</v>
      </c>
      <c r="E314" s="7">
        <v>1005107.832009082</v>
      </c>
      <c r="F314" s="4">
        <v>3</v>
      </c>
      <c r="G314" s="4">
        <v>8</v>
      </c>
      <c r="H314" s="4">
        <v>5</v>
      </c>
      <c r="I314" s="4">
        <v>3</v>
      </c>
      <c r="J314" s="4">
        <v>80000</v>
      </c>
      <c r="K314" s="4"/>
      <c r="L314" s="4"/>
      <c r="M314" s="5">
        <f t="shared" si="35"/>
        <v>0.625</v>
      </c>
      <c r="N314" s="5">
        <f t="shared" si="36"/>
        <v>2.6666666666666665</v>
      </c>
      <c r="O314" s="5">
        <f t="shared" si="37"/>
        <v>0.6</v>
      </c>
      <c r="P314" s="3">
        <f t="shared" si="38"/>
        <v>125638.47900113525</v>
      </c>
      <c r="Q314" s="6">
        <f t="shared" si="39"/>
        <v>0.95512140033879034</v>
      </c>
    </row>
    <row r="315" spans="1:17" x14ac:dyDescent="0.4">
      <c r="A315" s="2">
        <v>46036</v>
      </c>
      <c r="B315" s="1" t="s">
        <v>11</v>
      </c>
      <c r="C315" s="1" t="s">
        <v>12</v>
      </c>
      <c r="D315" s="1" t="s">
        <v>32</v>
      </c>
      <c r="E315" s="7">
        <v>165413.53383458647</v>
      </c>
      <c r="F315" s="4">
        <v>4</v>
      </c>
      <c r="G315" s="4">
        <v>2</v>
      </c>
      <c r="H315" s="4">
        <v>1</v>
      </c>
      <c r="I315" s="4"/>
      <c r="J315" s="4"/>
      <c r="K315" s="4"/>
      <c r="L315" s="4"/>
      <c r="M315" s="5">
        <f t="shared" si="35"/>
        <v>0.5</v>
      </c>
      <c r="N315" s="5">
        <f t="shared" si="36"/>
        <v>0.5</v>
      </c>
      <c r="O315" s="5">
        <f t="shared" si="37"/>
        <v>0</v>
      </c>
      <c r="P315" s="3">
        <f t="shared" si="38"/>
        <v>82706.766917293236</v>
      </c>
      <c r="Q315" s="6">
        <f t="shared" si="39"/>
        <v>0</v>
      </c>
    </row>
    <row r="316" spans="1:17" x14ac:dyDescent="0.4">
      <c r="A316" s="2">
        <v>46036</v>
      </c>
      <c r="B316" s="1" t="s">
        <v>17</v>
      </c>
      <c r="C316" s="1" t="s">
        <v>18</v>
      </c>
      <c r="D316" s="1" t="s">
        <v>53</v>
      </c>
      <c r="E316" s="7">
        <v>177419.35483870967</v>
      </c>
      <c r="F316" s="4">
        <v>4</v>
      </c>
      <c r="G316" s="4"/>
      <c r="H316" s="4"/>
      <c r="I316" s="4"/>
      <c r="J316" s="4"/>
      <c r="K316" s="4"/>
      <c r="L316" s="4"/>
      <c r="M316" s="5">
        <f t="shared" si="35"/>
        <v>0</v>
      </c>
      <c r="N316" s="5">
        <f t="shared" si="36"/>
        <v>0</v>
      </c>
      <c r="O316" s="5">
        <f t="shared" si="37"/>
        <v>0</v>
      </c>
      <c r="P316" s="3">
        <f t="shared" si="38"/>
        <v>0</v>
      </c>
      <c r="Q316" s="6">
        <f t="shared" si="39"/>
        <v>0</v>
      </c>
    </row>
    <row r="317" spans="1:17" x14ac:dyDescent="0.4">
      <c r="A317" s="2">
        <v>46036</v>
      </c>
      <c r="B317" s="1" t="s">
        <v>25</v>
      </c>
      <c r="C317" s="1" t="s">
        <v>35</v>
      </c>
      <c r="D317" s="1" t="s">
        <v>32</v>
      </c>
      <c r="E317" s="7">
        <v>0</v>
      </c>
      <c r="F317" s="4">
        <v>5</v>
      </c>
      <c r="G317" s="4"/>
      <c r="H317" s="4"/>
      <c r="I317" s="4"/>
      <c r="J317" s="4"/>
      <c r="K317" s="4"/>
      <c r="L317" s="4"/>
      <c r="M317" s="5">
        <f t="shared" si="35"/>
        <v>0</v>
      </c>
      <c r="N317" s="5">
        <f t="shared" si="36"/>
        <v>0</v>
      </c>
      <c r="O317" s="5">
        <f t="shared" si="37"/>
        <v>0</v>
      </c>
      <c r="P317" s="3">
        <f t="shared" si="38"/>
        <v>0</v>
      </c>
      <c r="Q317" s="6">
        <f t="shared" si="39"/>
        <v>0</v>
      </c>
    </row>
    <row r="318" spans="1:17" x14ac:dyDescent="0.4">
      <c r="A318" s="2">
        <v>46036</v>
      </c>
      <c r="B318" s="1" t="s">
        <v>24</v>
      </c>
      <c r="C318" s="1" t="s">
        <v>6</v>
      </c>
      <c r="D318" s="1" t="s">
        <v>69</v>
      </c>
      <c r="E318" s="7">
        <v>234308</v>
      </c>
      <c r="F318" s="4">
        <v>5</v>
      </c>
      <c r="G318" s="4">
        <v>4</v>
      </c>
      <c r="H318" s="4">
        <v>3</v>
      </c>
      <c r="I318" s="4">
        <v>2</v>
      </c>
      <c r="J318" s="4">
        <v>40000</v>
      </c>
      <c r="K318" s="4" t="s">
        <v>68</v>
      </c>
      <c r="L318" s="4" t="s">
        <v>68</v>
      </c>
      <c r="M318" s="5">
        <f t="shared" si="35"/>
        <v>0.75</v>
      </c>
      <c r="N318" s="5">
        <f t="shared" si="36"/>
        <v>0.8</v>
      </c>
      <c r="O318" s="5">
        <f t="shared" si="37"/>
        <v>0.66666666666666663</v>
      </c>
      <c r="P318" s="3">
        <f t="shared" si="38"/>
        <v>58577</v>
      </c>
      <c r="Q318" s="6">
        <f t="shared" si="39"/>
        <v>2.0485856223432406</v>
      </c>
    </row>
    <row r="319" spans="1:17" x14ac:dyDescent="0.4">
      <c r="A319" s="2">
        <v>46036</v>
      </c>
      <c r="B319" s="1" t="s">
        <v>9</v>
      </c>
      <c r="C319" s="1" t="s">
        <v>6</v>
      </c>
      <c r="D319" s="1" t="s">
        <v>70</v>
      </c>
      <c r="E319" s="7">
        <v>281170</v>
      </c>
      <c r="F319" s="4">
        <v>8</v>
      </c>
      <c r="G319" s="4">
        <v>1</v>
      </c>
      <c r="H319" s="4" t="s">
        <v>68</v>
      </c>
      <c r="I319" s="4">
        <v>1</v>
      </c>
      <c r="J319" s="4">
        <v>30000</v>
      </c>
      <c r="K319" s="4" t="s">
        <v>68</v>
      </c>
      <c r="L319" s="4" t="s">
        <v>68</v>
      </c>
      <c r="M319" s="5">
        <f t="shared" si="35"/>
        <v>0</v>
      </c>
      <c r="N319" s="5">
        <f t="shared" si="36"/>
        <v>0.125</v>
      </c>
      <c r="O319" s="5">
        <f t="shared" si="37"/>
        <v>0</v>
      </c>
      <c r="P319" s="3">
        <f t="shared" si="38"/>
        <v>281170</v>
      </c>
      <c r="Q319" s="6">
        <f t="shared" si="39"/>
        <v>1.2803641924814169</v>
      </c>
    </row>
    <row r="320" spans="1:17" x14ac:dyDescent="0.4">
      <c r="A320" s="2">
        <v>46036</v>
      </c>
      <c r="B320" s="1" t="s">
        <v>15</v>
      </c>
      <c r="C320" s="1" t="s">
        <v>6</v>
      </c>
      <c r="D320" s="1" t="s">
        <v>44</v>
      </c>
      <c r="E320" s="7">
        <v>348115</v>
      </c>
      <c r="F320" s="4">
        <v>9</v>
      </c>
      <c r="G320" s="4">
        <v>3</v>
      </c>
      <c r="H320" s="4">
        <v>2</v>
      </c>
      <c r="I320" s="4">
        <v>1</v>
      </c>
      <c r="J320" s="4">
        <v>20000</v>
      </c>
      <c r="K320" s="4" t="s">
        <v>68</v>
      </c>
      <c r="L320" s="4" t="s">
        <v>68</v>
      </c>
      <c r="M320" s="5">
        <f t="shared" si="35"/>
        <v>0.66666666666666663</v>
      </c>
      <c r="N320" s="5">
        <f t="shared" si="36"/>
        <v>0.33333333333333331</v>
      </c>
      <c r="O320" s="5">
        <f t="shared" si="37"/>
        <v>0.5</v>
      </c>
      <c r="P320" s="3">
        <f t="shared" si="38"/>
        <v>116038.33333333333</v>
      </c>
      <c r="Q320" s="6">
        <f t="shared" si="39"/>
        <v>0.68942734441204778</v>
      </c>
    </row>
    <row r="321" spans="1:17" x14ac:dyDescent="0.4">
      <c r="A321" s="2">
        <v>46036</v>
      </c>
      <c r="B321" s="1" t="s">
        <v>10</v>
      </c>
      <c r="C321" s="1" t="s">
        <v>6</v>
      </c>
      <c r="D321" s="1" t="s">
        <v>33</v>
      </c>
      <c r="E321" s="7">
        <v>187446</v>
      </c>
      <c r="F321" s="4">
        <v>5</v>
      </c>
      <c r="G321" s="4">
        <v>1</v>
      </c>
      <c r="H321" s="4">
        <v>1</v>
      </c>
      <c r="I321" s="4" t="s">
        <v>68</v>
      </c>
      <c r="J321" s="4" t="s">
        <v>68</v>
      </c>
      <c r="K321" s="4" t="s">
        <v>68</v>
      </c>
      <c r="L321" s="4" t="s">
        <v>68</v>
      </c>
      <c r="M321" s="5">
        <f t="shared" si="35"/>
        <v>1</v>
      </c>
      <c r="N321" s="5">
        <f t="shared" si="36"/>
        <v>0.2</v>
      </c>
      <c r="O321" s="5">
        <f t="shared" si="37"/>
        <v>0</v>
      </c>
      <c r="P321" s="3">
        <f t="shared" si="38"/>
        <v>187446</v>
      </c>
      <c r="Q321" s="6">
        <f t="shared" si="39"/>
        <v>0</v>
      </c>
    </row>
    <row r="322" spans="1:17" x14ac:dyDescent="0.4">
      <c r="A322" s="2">
        <v>46036</v>
      </c>
      <c r="B322" s="1" t="s">
        <v>74</v>
      </c>
      <c r="C322" s="1" t="s">
        <v>6</v>
      </c>
      <c r="D322" s="1" t="s">
        <v>71</v>
      </c>
      <c r="E322" s="7">
        <v>133890</v>
      </c>
      <c r="F322" s="4">
        <v>4</v>
      </c>
      <c r="G322" s="4">
        <v>1</v>
      </c>
      <c r="H322" s="4">
        <v>1</v>
      </c>
      <c r="I322" s="4">
        <v>1</v>
      </c>
      <c r="J322" s="4">
        <v>25000</v>
      </c>
      <c r="K322" s="4" t="s">
        <v>68</v>
      </c>
      <c r="L322" s="4" t="s">
        <v>68</v>
      </c>
      <c r="M322" s="5">
        <f t="shared" si="35"/>
        <v>1</v>
      </c>
      <c r="N322" s="5">
        <f t="shared" si="36"/>
        <v>0.25</v>
      </c>
      <c r="O322" s="5">
        <f t="shared" si="37"/>
        <v>1</v>
      </c>
      <c r="P322" s="3">
        <f t="shared" si="38"/>
        <v>133890</v>
      </c>
      <c r="Q322" s="6">
        <f t="shared" si="39"/>
        <v>2.2406453058480844</v>
      </c>
    </row>
    <row r="323" spans="1:17" x14ac:dyDescent="0.4">
      <c r="A323" s="2">
        <v>46036</v>
      </c>
      <c r="B323" s="1" t="s">
        <v>75</v>
      </c>
      <c r="C323" s="1" t="s">
        <v>6</v>
      </c>
      <c r="D323" s="1" t="s">
        <v>72</v>
      </c>
      <c r="E323" s="7">
        <v>174057</v>
      </c>
      <c r="F323" s="4">
        <v>5</v>
      </c>
      <c r="G323" s="4" t="s">
        <v>68</v>
      </c>
      <c r="H323" s="4" t="s">
        <v>68</v>
      </c>
      <c r="I323" s="4" t="s">
        <v>68</v>
      </c>
      <c r="J323" s="4" t="s">
        <v>68</v>
      </c>
      <c r="K323" s="4" t="s">
        <v>68</v>
      </c>
      <c r="L323" s="4" t="s">
        <v>68</v>
      </c>
      <c r="M323" s="5">
        <f t="shared" si="35"/>
        <v>0</v>
      </c>
      <c r="N323" s="5">
        <f t="shared" si="36"/>
        <v>0</v>
      </c>
      <c r="O323" s="5">
        <f t="shared" si="37"/>
        <v>0</v>
      </c>
      <c r="P323" s="3">
        <f t="shared" si="38"/>
        <v>0</v>
      </c>
      <c r="Q323" s="6">
        <f t="shared" si="39"/>
        <v>0</v>
      </c>
    </row>
    <row r="324" spans="1:17" x14ac:dyDescent="0.4">
      <c r="A324" s="2">
        <v>46036</v>
      </c>
      <c r="B324" s="1" t="s">
        <v>76</v>
      </c>
      <c r="C324" s="1" t="s">
        <v>6</v>
      </c>
      <c r="D324" s="1" t="s">
        <v>73</v>
      </c>
      <c r="E324" s="7">
        <v>194141</v>
      </c>
      <c r="F324" s="4">
        <v>4</v>
      </c>
      <c r="G324" s="4">
        <v>1</v>
      </c>
      <c r="H324" s="4">
        <v>1</v>
      </c>
      <c r="I324" s="4">
        <v>1</v>
      </c>
      <c r="J324" s="4">
        <v>20000</v>
      </c>
      <c r="K324" s="4" t="s">
        <v>68</v>
      </c>
      <c r="L324" s="4" t="s">
        <v>68</v>
      </c>
      <c r="M324" s="5">
        <f t="shared" si="35"/>
        <v>1</v>
      </c>
      <c r="N324" s="5">
        <f t="shared" si="36"/>
        <v>0.25</v>
      </c>
      <c r="O324" s="5">
        <f t="shared" si="37"/>
        <v>1</v>
      </c>
      <c r="P324" s="3">
        <f t="shared" si="38"/>
        <v>194141</v>
      </c>
      <c r="Q324" s="6">
        <f t="shared" si="39"/>
        <v>1.2362149159631401</v>
      </c>
    </row>
    <row r="325" spans="1:17" x14ac:dyDescent="0.4">
      <c r="A325" s="2">
        <v>46036</v>
      </c>
      <c r="B325" s="1" t="s">
        <v>5</v>
      </c>
      <c r="C325" s="1" t="s">
        <v>6</v>
      </c>
      <c r="D325" s="1" t="s">
        <v>52</v>
      </c>
      <c r="E325" s="7">
        <v>214225</v>
      </c>
      <c r="F325" s="4">
        <v>5</v>
      </c>
      <c r="G325" s="4" t="s">
        <v>68</v>
      </c>
      <c r="H325" s="4" t="s">
        <v>68</v>
      </c>
      <c r="I325" s="4" t="s">
        <v>68</v>
      </c>
      <c r="J325" s="4" t="s">
        <v>68</v>
      </c>
      <c r="K325" s="4" t="s">
        <v>68</v>
      </c>
      <c r="L325" s="4" t="s">
        <v>68</v>
      </c>
      <c r="M325" s="5">
        <f t="shared" si="35"/>
        <v>0</v>
      </c>
      <c r="N325" s="5">
        <f t="shared" si="36"/>
        <v>0</v>
      </c>
      <c r="O325" s="5">
        <f t="shared" si="37"/>
        <v>0</v>
      </c>
      <c r="P325" s="3">
        <f t="shared" si="38"/>
        <v>0</v>
      </c>
      <c r="Q325" s="6">
        <f t="shared" si="39"/>
        <v>0</v>
      </c>
    </row>
    <row r="326" spans="1:17" x14ac:dyDescent="0.4">
      <c r="A326" s="2">
        <v>46036</v>
      </c>
      <c r="B326" s="1" t="s">
        <v>26</v>
      </c>
      <c r="C326" s="1" t="s">
        <v>36</v>
      </c>
      <c r="D326" s="1" t="s">
        <v>52</v>
      </c>
      <c r="E326" s="7">
        <v>0</v>
      </c>
      <c r="F326" s="4">
        <v>1</v>
      </c>
      <c r="G326" s="4">
        <v>1</v>
      </c>
      <c r="H326" s="4"/>
      <c r="I326" s="4"/>
      <c r="J326" s="4"/>
      <c r="K326" s="4"/>
      <c r="L326" s="4"/>
      <c r="M326" s="5">
        <f t="shared" si="35"/>
        <v>0</v>
      </c>
      <c r="N326" s="5">
        <f t="shared" si="36"/>
        <v>1</v>
      </c>
      <c r="O326" s="5">
        <f t="shared" si="37"/>
        <v>0</v>
      </c>
      <c r="P326" s="3">
        <f t="shared" si="38"/>
        <v>0</v>
      </c>
      <c r="Q326" s="6">
        <f t="shared" si="39"/>
        <v>0</v>
      </c>
    </row>
    <row r="327" spans="1:17" x14ac:dyDescent="0.4">
      <c r="A327" s="2">
        <v>46036</v>
      </c>
      <c r="B327" s="1" t="s">
        <v>51</v>
      </c>
      <c r="C327" s="1" t="s">
        <v>50</v>
      </c>
      <c r="D327" s="1" t="s">
        <v>54</v>
      </c>
      <c r="E327" s="7">
        <v>285714.28571428574</v>
      </c>
      <c r="F327" s="4">
        <v>2</v>
      </c>
      <c r="G327" s="4">
        <v>6</v>
      </c>
      <c r="H327" s="4">
        <v>5</v>
      </c>
      <c r="I327" s="4">
        <v>4</v>
      </c>
      <c r="J327" s="4">
        <v>80000</v>
      </c>
      <c r="K327" s="4"/>
      <c r="L327" s="4"/>
      <c r="M327" s="5">
        <f t="shared" si="35"/>
        <v>0.83333333333333337</v>
      </c>
      <c r="N327" s="5">
        <f t="shared" si="36"/>
        <v>3</v>
      </c>
      <c r="O327" s="5">
        <f t="shared" si="37"/>
        <v>0.8</v>
      </c>
      <c r="P327" s="3">
        <f t="shared" si="38"/>
        <v>47619.047619047626</v>
      </c>
      <c r="Q327" s="6">
        <f t="shared" si="39"/>
        <v>3.36</v>
      </c>
    </row>
    <row r="328" spans="1:17" x14ac:dyDescent="0.4">
      <c r="A328" s="2">
        <v>46036</v>
      </c>
      <c r="B328" s="1" t="s">
        <v>56</v>
      </c>
      <c r="C328" s="1" t="s">
        <v>57</v>
      </c>
      <c r="D328" s="1" t="s">
        <v>59</v>
      </c>
      <c r="E328" s="7">
        <v>229166.66666666666</v>
      </c>
      <c r="F328" s="4">
        <v>6</v>
      </c>
      <c r="G328" s="4">
        <v>1</v>
      </c>
      <c r="H328" s="4">
        <v>1</v>
      </c>
      <c r="I328" s="4">
        <v>1</v>
      </c>
      <c r="J328" s="4">
        <v>15000</v>
      </c>
      <c r="K328" s="4"/>
      <c r="L328" s="4"/>
      <c r="M328" s="5">
        <f t="shared" si="35"/>
        <v>1</v>
      </c>
      <c r="N328" s="5">
        <f t="shared" si="36"/>
        <v>0.16666666666666666</v>
      </c>
      <c r="O328" s="5">
        <f t="shared" si="37"/>
        <v>1</v>
      </c>
      <c r="P328" s="3">
        <f t="shared" si="38"/>
        <v>229166.66666666666</v>
      </c>
      <c r="Q328" s="6">
        <f t="shared" si="39"/>
        <v>0.78545454545454552</v>
      </c>
    </row>
    <row r="329" spans="1:17" x14ac:dyDescent="0.4">
      <c r="A329" s="2">
        <v>46036</v>
      </c>
      <c r="B329" s="1" t="s">
        <v>16</v>
      </c>
      <c r="C329" s="1" t="s">
        <v>58</v>
      </c>
      <c r="D329" s="1" t="s">
        <v>53</v>
      </c>
      <c r="E329" s="7">
        <v>206250.00000000003</v>
      </c>
      <c r="F329" s="4">
        <v>3</v>
      </c>
      <c r="G329" s="4"/>
      <c r="H329" s="4"/>
      <c r="I329" s="4"/>
      <c r="J329" s="4"/>
      <c r="K329" s="4"/>
      <c r="L329" s="4"/>
      <c r="M329" s="5">
        <f t="shared" ref="M329:M408" si="40">IFERROR(H329/G329,0)</f>
        <v>0</v>
      </c>
      <c r="N329" s="5">
        <f t="shared" ref="N329:N408" si="41">IFERROR(G329/F329,0)</f>
        <v>0</v>
      </c>
      <c r="O329" s="5">
        <f t="shared" ref="O329:O408" si="42">IFERROR(I329/H329,0)</f>
        <v>0</v>
      </c>
      <c r="P329" s="3">
        <f t="shared" ref="P329:P408" si="43">IFERROR(E329/G329,0)</f>
        <v>0</v>
      </c>
      <c r="Q329" s="6">
        <f t="shared" ref="Q329:Q408" si="44">IFERROR(J329*12/E329,0)</f>
        <v>0</v>
      </c>
    </row>
    <row r="330" spans="1:17" x14ac:dyDescent="0.4">
      <c r="A330" s="2">
        <v>46036</v>
      </c>
      <c r="B330" s="1" t="s">
        <v>19</v>
      </c>
      <c r="C330" s="1" t="s">
        <v>20</v>
      </c>
      <c r="D330" s="1" t="s">
        <v>34</v>
      </c>
      <c r="E330" s="7">
        <v>210638.29787234045</v>
      </c>
      <c r="F330" s="4">
        <v>4</v>
      </c>
      <c r="G330" s="4"/>
      <c r="H330" s="4"/>
      <c r="I330" s="4"/>
      <c r="J330" s="4"/>
      <c r="K330" s="4"/>
      <c r="L330" s="4"/>
      <c r="M330" s="5">
        <f t="shared" si="40"/>
        <v>0</v>
      </c>
      <c r="N330" s="5">
        <f t="shared" si="41"/>
        <v>0</v>
      </c>
      <c r="O330" s="5">
        <f t="shared" si="42"/>
        <v>0</v>
      </c>
      <c r="P330" s="3">
        <f t="shared" si="43"/>
        <v>0</v>
      </c>
      <c r="Q330" s="6">
        <f t="shared" si="44"/>
        <v>0</v>
      </c>
    </row>
    <row r="331" spans="1:17" x14ac:dyDescent="0.4">
      <c r="A331" s="2">
        <v>46036</v>
      </c>
      <c r="B331" s="1" t="s">
        <v>23</v>
      </c>
      <c r="C331" s="1" t="s">
        <v>37</v>
      </c>
      <c r="D331" s="1" t="s">
        <v>32</v>
      </c>
      <c r="E331" s="7">
        <v>0</v>
      </c>
      <c r="F331" s="4">
        <v>7</v>
      </c>
      <c r="G331" s="4">
        <v>1</v>
      </c>
      <c r="H331" s="4">
        <v>1</v>
      </c>
      <c r="I331" s="4"/>
      <c r="J331" s="4"/>
      <c r="K331" s="4"/>
      <c r="L331" s="4"/>
      <c r="M331" s="5">
        <f t="shared" si="40"/>
        <v>1</v>
      </c>
      <c r="N331" s="5">
        <f t="shared" si="41"/>
        <v>0.14285714285714285</v>
      </c>
      <c r="O331" s="5">
        <f t="shared" si="42"/>
        <v>0</v>
      </c>
      <c r="P331" s="3">
        <f t="shared" si="43"/>
        <v>0</v>
      </c>
      <c r="Q331" s="6">
        <f t="shared" si="44"/>
        <v>0</v>
      </c>
    </row>
    <row r="332" spans="1:17" x14ac:dyDescent="0.4">
      <c r="A332" s="2">
        <v>46036</v>
      </c>
      <c r="B332" s="1" t="s">
        <v>21</v>
      </c>
      <c r="C332" s="1" t="s">
        <v>22</v>
      </c>
      <c r="D332" s="1" t="s">
        <v>32</v>
      </c>
      <c r="E332" s="7">
        <v>283870.96774193551</v>
      </c>
      <c r="F332" s="4">
        <v>9</v>
      </c>
      <c r="G332" s="4"/>
      <c r="H332" s="4"/>
      <c r="I332" s="4">
        <v>1</v>
      </c>
      <c r="J332" s="4">
        <v>20000</v>
      </c>
      <c r="K332" s="4"/>
      <c r="L332" s="4"/>
      <c r="M332" s="5">
        <f t="shared" si="40"/>
        <v>0</v>
      </c>
      <c r="N332" s="5">
        <f t="shared" si="41"/>
        <v>0</v>
      </c>
      <c r="O332" s="5">
        <f t="shared" si="42"/>
        <v>0</v>
      </c>
      <c r="P332" s="3">
        <f t="shared" si="43"/>
        <v>0</v>
      </c>
      <c r="Q332" s="6">
        <f t="shared" si="44"/>
        <v>0.84545454545454535</v>
      </c>
    </row>
    <row r="333" spans="1:17" x14ac:dyDescent="0.4">
      <c r="A333" s="2">
        <v>46036</v>
      </c>
      <c r="B333" s="1" t="s">
        <v>60</v>
      </c>
      <c r="C333" s="1" t="s">
        <v>63</v>
      </c>
      <c r="D333" s="1" t="s">
        <v>53</v>
      </c>
      <c r="E333" s="7">
        <v>169057.37704918033</v>
      </c>
      <c r="F333" s="4">
        <v>3</v>
      </c>
      <c r="G333" s="4"/>
      <c r="H333" s="4"/>
      <c r="I333" s="4"/>
      <c r="J333" s="4"/>
      <c r="K333" s="4"/>
      <c r="L333" s="4"/>
      <c r="M333" s="5">
        <f t="shared" si="40"/>
        <v>0</v>
      </c>
      <c r="N333" s="5">
        <f t="shared" si="41"/>
        <v>0</v>
      </c>
      <c r="O333" s="5">
        <f t="shared" si="42"/>
        <v>0</v>
      </c>
      <c r="P333" s="3">
        <f t="shared" si="43"/>
        <v>0</v>
      </c>
      <c r="Q333" s="6">
        <f t="shared" si="44"/>
        <v>0</v>
      </c>
    </row>
    <row r="334" spans="1:17" x14ac:dyDescent="0.4">
      <c r="A334" s="2">
        <v>46036</v>
      </c>
      <c r="B334" s="1" t="s">
        <v>61</v>
      </c>
      <c r="C334" s="1" t="s">
        <v>64</v>
      </c>
      <c r="D334" s="1" t="s">
        <v>66</v>
      </c>
      <c r="E334" s="7">
        <v>0</v>
      </c>
      <c r="F334" s="4">
        <v>8</v>
      </c>
      <c r="G334" s="4"/>
      <c r="H334" s="4"/>
      <c r="I334" s="4"/>
      <c r="J334" s="4"/>
      <c r="K334" s="4"/>
      <c r="L334" s="4"/>
      <c r="M334" s="5">
        <f t="shared" si="40"/>
        <v>0</v>
      </c>
      <c r="N334" s="5">
        <f t="shared" si="41"/>
        <v>0</v>
      </c>
      <c r="O334" s="5">
        <f t="shared" si="42"/>
        <v>0</v>
      </c>
      <c r="P334" s="3">
        <f t="shared" si="43"/>
        <v>0</v>
      </c>
      <c r="Q334" s="6">
        <f t="shared" si="44"/>
        <v>0</v>
      </c>
    </row>
    <row r="335" spans="1:17" x14ac:dyDescent="0.4">
      <c r="A335" s="2">
        <v>46036</v>
      </c>
      <c r="B335" s="1" t="s">
        <v>62</v>
      </c>
      <c r="C335" s="1" t="s">
        <v>65</v>
      </c>
      <c r="D335" s="1" t="s">
        <v>67</v>
      </c>
      <c r="E335" s="7">
        <v>264423.07692307699</v>
      </c>
      <c r="F335" s="4">
        <v>2</v>
      </c>
      <c r="G335" s="4"/>
      <c r="H335" s="4"/>
      <c r="I335" s="4"/>
      <c r="J335" s="4"/>
      <c r="K335" s="4"/>
      <c r="L335" s="4"/>
      <c r="M335" s="5">
        <f t="shared" si="40"/>
        <v>0</v>
      </c>
      <c r="N335" s="5">
        <f t="shared" si="41"/>
        <v>0</v>
      </c>
      <c r="O335" s="5">
        <f t="shared" si="42"/>
        <v>0</v>
      </c>
      <c r="P335" s="3">
        <f t="shared" si="43"/>
        <v>0</v>
      </c>
      <c r="Q335" s="6">
        <f t="shared" si="44"/>
        <v>0</v>
      </c>
    </row>
    <row r="336" spans="1:17" x14ac:dyDescent="0.4">
      <c r="A336" s="2">
        <v>46036</v>
      </c>
      <c r="B336" s="1" t="s">
        <v>42</v>
      </c>
      <c r="C336" s="1" t="s">
        <v>38</v>
      </c>
      <c r="D336" s="1" t="s">
        <v>42</v>
      </c>
      <c r="E336" s="7">
        <v>0</v>
      </c>
      <c r="F336" s="4">
        <v>0</v>
      </c>
      <c r="G336" s="4"/>
      <c r="H336" s="4"/>
      <c r="I336" s="4"/>
      <c r="J336" s="4"/>
      <c r="K336" s="4"/>
      <c r="L336" s="4"/>
      <c r="M336" s="5">
        <f t="shared" si="40"/>
        <v>0</v>
      </c>
      <c r="N336" s="5">
        <f t="shared" si="41"/>
        <v>0</v>
      </c>
      <c r="O336" s="5">
        <f t="shared" si="42"/>
        <v>0</v>
      </c>
      <c r="P336" s="3">
        <f t="shared" si="43"/>
        <v>0</v>
      </c>
      <c r="Q336" s="6">
        <f t="shared" si="44"/>
        <v>0</v>
      </c>
    </row>
    <row r="337" spans="1:17" x14ac:dyDescent="0.4">
      <c r="A337" s="2">
        <v>46036</v>
      </c>
      <c r="B337" s="1" t="s">
        <v>7</v>
      </c>
      <c r="C337" s="1" t="s">
        <v>8</v>
      </c>
      <c r="D337" s="1" t="s">
        <v>42</v>
      </c>
      <c r="E337" s="7">
        <v>0</v>
      </c>
      <c r="F337" s="4">
        <v>0</v>
      </c>
      <c r="G337" s="3">
        <v>4</v>
      </c>
      <c r="H337" s="3">
        <v>2</v>
      </c>
      <c r="I337" s="3"/>
      <c r="J337" s="3"/>
      <c r="K337" s="3"/>
      <c r="L337" s="3"/>
      <c r="M337" s="5">
        <f t="shared" si="40"/>
        <v>0.5</v>
      </c>
      <c r="N337" s="5">
        <f t="shared" si="41"/>
        <v>0</v>
      </c>
      <c r="O337" s="5">
        <f t="shared" si="42"/>
        <v>0</v>
      </c>
      <c r="P337" s="3">
        <f t="shared" si="43"/>
        <v>0</v>
      </c>
      <c r="Q337" s="6">
        <f t="shared" si="44"/>
        <v>0</v>
      </c>
    </row>
    <row r="338" spans="1:17" x14ac:dyDescent="0.4">
      <c r="A338" s="2">
        <v>46037</v>
      </c>
      <c r="B338" s="1" t="s">
        <v>13</v>
      </c>
      <c r="C338" s="1" t="s">
        <v>14</v>
      </c>
      <c r="D338" s="1" t="s">
        <v>31</v>
      </c>
      <c r="E338" s="7">
        <v>1420261.0669693549</v>
      </c>
      <c r="F338" s="4">
        <v>3</v>
      </c>
      <c r="G338" s="4">
        <v>6</v>
      </c>
      <c r="H338" s="4">
        <v>4</v>
      </c>
      <c r="I338" s="4">
        <v>4</v>
      </c>
      <c r="J338" s="4">
        <v>90000</v>
      </c>
      <c r="K338" s="4"/>
      <c r="L338" s="4"/>
      <c r="M338" s="5">
        <f t="shared" si="40"/>
        <v>0.66666666666666663</v>
      </c>
      <c r="N338" s="5">
        <f t="shared" si="41"/>
        <v>2</v>
      </c>
      <c r="O338" s="5">
        <f t="shared" si="42"/>
        <v>1</v>
      </c>
      <c r="P338" s="3">
        <f t="shared" si="43"/>
        <v>236710.1778282258</v>
      </c>
      <c r="Q338" s="6">
        <f t="shared" si="44"/>
        <v>0.76042357642357539</v>
      </c>
    </row>
    <row r="339" spans="1:17" x14ac:dyDescent="0.4">
      <c r="A339" s="2">
        <v>46037</v>
      </c>
      <c r="B339" s="1" t="s">
        <v>11</v>
      </c>
      <c r="C339" s="1" t="s">
        <v>12</v>
      </c>
      <c r="D339" s="1" t="s">
        <v>32</v>
      </c>
      <c r="E339" s="7">
        <v>248120.30075187972</v>
      </c>
      <c r="F339" s="4">
        <v>6</v>
      </c>
      <c r="G339" s="4">
        <v>5</v>
      </c>
      <c r="H339" s="4">
        <v>4</v>
      </c>
      <c r="I339" s="4">
        <v>2</v>
      </c>
      <c r="J339" s="4">
        <v>45000</v>
      </c>
      <c r="K339" s="4">
        <v>1</v>
      </c>
      <c r="L339" s="4">
        <v>20000</v>
      </c>
      <c r="M339" s="5">
        <f t="shared" si="40"/>
        <v>0.8</v>
      </c>
      <c r="N339" s="5">
        <f t="shared" si="41"/>
        <v>0.83333333333333337</v>
      </c>
      <c r="O339" s="5">
        <f t="shared" si="42"/>
        <v>0.5</v>
      </c>
      <c r="P339" s="3">
        <f t="shared" si="43"/>
        <v>49624.060150375946</v>
      </c>
      <c r="Q339" s="6">
        <f t="shared" si="44"/>
        <v>2.1763636363636363</v>
      </c>
    </row>
    <row r="340" spans="1:17" x14ac:dyDescent="0.4">
      <c r="A340" s="2">
        <v>46037</v>
      </c>
      <c r="B340" s="1" t="s">
        <v>17</v>
      </c>
      <c r="C340" s="1" t="s">
        <v>18</v>
      </c>
      <c r="D340" s="1" t="s">
        <v>53</v>
      </c>
      <c r="E340" s="7">
        <v>177419.35483870967</v>
      </c>
      <c r="F340" s="4">
        <v>4</v>
      </c>
      <c r="G340" s="4">
        <v>1</v>
      </c>
      <c r="H340" s="4"/>
      <c r="I340" s="4"/>
      <c r="J340" s="4"/>
      <c r="K340" s="4"/>
      <c r="L340" s="4"/>
      <c r="M340" s="5">
        <f t="shared" si="40"/>
        <v>0</v>
      </c>
      <c r="N340" s="5">
        <f t="shared" si="41"/>
        <v>0.25</v>
      </c>
      <c r="O340" s="5">
        <f t="shared" si="42"/>
        <v>0</v>
      </c>
      <c r="P340" s="3">
        <f t="shared" si="43"/>
        <v>177419.35483870967</v>
      </c>
      <c r="Q340" s="6">
        <f t="shared" si="44"/>
        <v>0</v>
      </c>
    </row>
    <row r="341" spans="1:17" x14ac:dyDescent="0.4">
      <c r="A341" s="2">
        <v>46037</v>
      </c>
      <c r="B341" s="1" t="s">
        <v>25</v>
      </c>
      <c r="C341" s="1" t="s">
        <v>35</v>
      </c>
      <c r="D341" s="1" t="s">
        <v>32</v>
      </c>
      <c r="E341" s="7">
        <v>0</v>
      </c>
      <c r="F341" s="4">
        <v>5</v>
      </c>
      <c r="G341" s="4"/>
      <c r="H341" s="4"/>
      <c r="I341" s="4"/>
      <c r="J341" s="4"/>
      <c r="K341" s="4"/>
      <c r="L341" s="4"/>
      <c r="M341" s="5">
        <f t="shared" si="40"/>
        <v>0</v>
      </c>
      <c r="N341" s="5">
        <f t="shared" si="41"/>
        <v>0</v>
      </c>
      <c r="O341" s="5">
        <f t="shared" si="42"/>
        <v>0</v>
      </c>
      <c r="P341" s="3">
        <f t="shared" si="43"/>
        <v>0</v>
      </c>
      <c r="Q341" s="6">
        <f t="shared" si="44"/>
        <v>0</v>
      </c>
    </row>
    <row r="342" spans="1:17" x14ac:dyDescent="0.4">
      <c r="A342" s="2">
        <v>46037</v>
      </c>
      <c r="B342" s="1" t="s">
        <v>24</v>
      </c>
      <c r="C342" s="1" t="s">
        <v>6</v>
      </c>
      <c r="D342" s="1" t="s">
        <v>69</v>
      </c>
      <c r="E342" s="7">
        <v>143735</v>
      </c>
      <c r="F342" s="4">
        <v>4</v>
      </c>
      <c r="G342" s="4"/>
      <c r="H342" s="4"/>
      <c r="I342" s="4"/>
      <c r="J342" s="4"/>
      <c r="K342" s="4"/>
      <c r="L342" s="4"/>
      <c r="M342" s="5">
        <f t="shared" si="40"/>
        <v>0</v>
      </c>
      <c r="N342" s="5">
        <f t="shared" si="41"/>
        <v>0</v>
      </c>
      <c r="O342" s="5">
        <f t="shared" si="42"/>
        <v>0</v>
      </c>
      <c r="P342" s="3">
        <f t="shared" si="43"/>
        <v>0</v>
      </c>
      <c r="Q342" s="6">
        <f t="shared" si="44"/>
        <v>0</v>
      </c>
    </row>
    <row r="343" spans="1:17" x14ac:dyDescent="0.4">
      <c r="A343" s="2">
        <v>46037</v>
      </c>
      <c r="B343" s="1" t="s">
        <v>9</v>
      </c>
      <c r="C343" s="1" t="s">
        <v>6</v>
      </c>
      <c r="D343" s="1" t="s">
        <v>70</v>
      </c>
      <c r="E343" s="7">
        <v>373711</v>
      </c>
      <c r="F343" s="4">
        <v>9</v>
      </c>
      <c r="G343" s="4">
        <v>2</v>
      </c>
      <c r="H343" s="4">
        <v>1</v>
      </c>
      <c r="I343" s="4"/>
      <c r="J343" s="4"/>
      <c r="K343" s="4"/>
      <c r="L343" s="4"/>
      <c r="M343" s="5">
        <f t="shared" si="40"/>
        <v>0.5</v>
      </c>
      <c r="N343" s="5">
        <f t="shared" si="41"/>
        <v>0.22222222222222221</v>
      </c>
      <c r="O343" s="5">
        <f t="shared" si="42"/>
        <v>0</v>
      </c>
      <c r="P343" s="3">
        <f t="shared" si="43"/>
        <v>186855.5</v>
      </c>
      <c r="Q343" s="6">
        <f t="shared" si="44"/>
        <v>0</v>
      </c>
    </row>
    <row r="344" spans="1:17" x14ac:dyDescent="0.4">
      <c r="A344" s="2">
        <v>46037</v>
      </c>
      <c r="B344" s="1" t="s">
        <v>15</v>
      </c>
      <c r="C344" s="1" t="s">
        <v>6</v>
      </c>
      <c r="D344" s="1" t="s">
        <v>44</v>
      </c>
      <c r="E344" s="7">
        <v>301843</v>
      </c>
      <c r="F344" s="4">
        <v>8</v>
      </c>
      <c r="G344" s="4">
        <v>2</v>
      </c>
      <c r="H344" s="4">
        <v>2</v>
      </c>
      <c r="I344" s="4">
        <v>1</v>
      </c>
      <c r="J344" s="4">
        <v>20000</v>
      </c>
      <c r="K344" s="4"/>
      <c r="L344" s="4"/>
      <c r="M344" s="5">
        <f t="shared" si="40"/>
        <v>1</v>
      </c>
      <c r="N344" s="5">
        <f t="shared" si="41"/>
        <v>0.25</v>
      </c>
      <c r="O344" s="5">
        <f t="shared" si="42"/>
        <v>0.5</v>
      </c>
      <c r="P344" s="3">
        <f t="shared" si="43"/>
        <v>150921.5</v>
      </c>
      <c r="Q344" s="6">
        <f t="shared" si="44"/>
        <v>0.79511534141921458</v>
      </c>
    </row>
    <row r="345" spans="1:17" x14ac:dyDescent="0.4">
      <c r="A345" s="2">
        <v>46037</v>
      </c>
      <c r="B345" s="1" t="s">
        <v>10</v>
      </c>
      <c r="C345" s="1" t="s">
        <v>6</v>
      </c>
      <c r="D345" s="1" t="s">
        <v>33</v>
      </c>
      <c r="E345" s="7">
        <v>186855</v>
      </c>
      <c r="F345" s="4">
        <v>4</v>
      </c>
      <c r="G345" s="4">
        <v>1</v>
      </c>
      <c r="H345" s="4">
        <v>1</v>
      </c>
      <c r="I345" s="4">
        <v>1</v>
      </c>
      <c r="J345" s="4">
        <v>30000</v>
      </c>
      <c r="K345" s="4"/>
      <c r="L345" s="4"/>
      <c r="M345" s="5">
        <f t="shared" si="40"/>
        <v>1</v>
      </c>
      <c r="N345" s="5">
        <f t="shared" si="41"/>
        <v>0.25</v>
      </c>
      <c r="O345" s="5">
        <f t="shared" si="42"/>
        <v>1</v>
      </c>
      <c r="P345" s="3">
        <f t="shared" si="43"/>
        <v>186855</v>
      </c>
      <c r="Q345" s="6">
        <f t="shared" si="44"/>
        <v>1.9266275989403547</v>
      </c>
    </row>
    <row r="346" spans="1:17" x14ac:dyDescent="0.4">
      <c r="A346" s="2">
        <v>46037</v>
      </c>
      <c r="B346" s="1" t="s">
        <v>74</v>
      </c>
      <c r="C346" s="1" t="s">
        <v>6</v>
      </c>
      <c r="D346" s="1" t="s">
        <v>71</v>
      </c>
      <c r="E346" s="7">
        <v>265910</v>
      </c>
      <c r="F346" s="4">
        <v>5</v>
      </c>
      <c r="G346" s="4"/>
      <c r="H346" s="4"/>
      <c r="I346" s="4"/>
      <c r="J346" s="4"/>
      <c r="K346" s="4"/>
      <c r="L346" s="4"/>
      <c r="M346" s="5">
        <f t="shared" si="40"/>
        <v>0</v>
      </c>
      <c r="N346" s="5">
        <f t="shared" si="41"/>
        <v>0</v>
      </c>
      <c r="O346" s="5">
        <f t="shared" si="42"/>
        <v>0</v>
      </c>
      <c r="P346" s="3">
        <f t="shared" si="43"/>
        <v>0</v>
      </c>
      <c r="Q346" s="6">
        <f t="shared" si="44"/>
        <v>0</v>
      </c>
    </row>
    <row r="347" spans="1:17" x14ac:dyDescent="0.4">
      <c r="A347" s="2">
        <v>46037</v>
      </c>
      <c r="B347" s="1" t="s">
        <v>75</v>
      </c>
      <c r="C347" s="1" t="s">
        <v>6</v>
      </c>
      <c r="D347" s="1" t="s">
        <v>72</v>
      </c>
      <c r="E347" s="7">
        <v>158108</v>
      </c>
      <c r="F347" s="4">
        <v>4</v>
      </c>
      <c r="G347" s="4">
        <v>1</v>
      </c>
      <c r="H347" s="4">
        <v>1</v>
      </c>
      <c r="I347" s="4">
        <v>1</v>
      </c>
      <c r="J347" s="4">
        <v>20000</v>
      </c>
      <c r="K347" s="4"/>
      <c r="L347" s="4"/>
      <c r="M347" s="5">
        <f t="shared" si="40"/>
        <v>1</v>
      </c>
      <c r="N347" s="5">
        <f t="shared" si="41"/>
        <v>0.25</v>
      </c>
      <c r="O347" s="5">
        <f t="shared" si="42"/>
        <v>1</v>
      </c>
      <c r="P347" s="3">
        <f t="shared" si="43"/>
        <v>158108</v>
      </c>
      <c r="Q347" s="6">
        <f t="shared" si="44"/>
        <v>1.517949755863081</v>
      </c>
    </row>
    <row r="348" spans="1:17" x14ac:dyDescent="0.4">
      <c r="A348" s="2">
        <v>46037</v>
      </c>
      <c r="B348" s="1" t="s">
        <v>76</v>
      </c>
      <c r="C348" s="1" t="s">
        <v>6</v>
      </c>
      <c r="D348" s="1" t="s">
        <v>73</v>
      </c>
      <c r="E348" s="7">
        <v>172482</v>
      </c>
      <c r="F348" s="4">
        <v>5</v>
      </c>
      <c r="G348" s="4"/>
      <c r="H348" s="4"/>
      <c r="I348" s="4"/>
      <c r="J348" s="4"/>
      <c r="K348" s="4"/>
      <c r="L348" s="4"/>
      <c r="M348" s="5">
        <f t="shared" si="40"/>
        <v>0</v>
      </c>
      <c r="N348" s="5">
        <f t="shared" si="41"/>
        <v>0</v>
      </c>
      <c r="O348" s="5">
        <f t="shared" si="42"/>
        <v>0</v>
      </c>
      <c r="P348" s="3">
        <f t="shared" si="43"/>
        <v>0</v>
      </c>
      <c r="Q348" s="6">
        <f t="shared" si="44"/>
        <v>0</v>
      </c>
    </row>
    <row r="349" spans="1:17" x14ac:dyDescent="0.4">
      <c r="A349" s="2">
        <v>46037</v>
      </c>
      <c r="B349" s="1" t="s">
        <v>5</v>
      </c>
      <c r="C349" s="1" t="s">
        <v>6</v>
      </c>
      <c r="D349" s="1" t="s">
        <v>52</v>
      </c>
      <c r="E349" s="7">
        <v>129361</v>
      </c>
      <c r="F349" s="4">
        <v>4</v>
      </c>
      <c r="G349" s="4">
        <v>5</v>
      </c>
      <c r="H349" s="4">
        <v>4</v>
      </c>
      <c r="I349" s="4">
        <v>3</v>
      </c>
      <c r="J349" s="4">
        <v>60000</v>
      </c>
      <c r="K349" s="4"/>
      <c r="L349" s="4"/>
      <c r="M349" s="5">
        <f t="shared" si="40"/>
        <v>0.8</v>
      </c>
      <c r="N349" s="5">
        <f t="shared" si="41"/>
        <v>1.25</v>
      </c>
      <c r="O349" s="5">
        <f t="shared" si="42"/>
        <v>0.75</v>
      </c>
      <c r="P349" s="3">
        <f t="shared" si="43"/>
        <v>25872.2</v>
      </c>
      <c r="Q349" s="6">
        <f t="shared" si="44"/>
        <v>5.5658196829028839</v>
      </c>
    </row>
    <row r="350" spans="1:17" x14ac:dyDescent="0.4">
      <c r="A350" s="2">
        <v>46037</v>
      </c>
      <c r="B350" s="1" t="s">
        <v>26</v>
      </c>
      <c r="C350" s="1" t="s">
        <v>36</v>
      </c>
      <c r="D350" s="1" t="s">
        <v>52</v>
      </c>
      <c r="E350" s="7">
        <v>0</v>
      </c>
      <c r="F350" s="4">
        <v>1</v>
      </c>
      <c r="G350" s="4"/>
      <c r="H350" s="4"/>
      <c r="I350" s="4"/>
      <c r="J350" s="4"/>
      <c r="K350" s="4"/>
      <c r="L350" s="4"/>
      <c r="M350" s="5">
        <f t="shared" si="40"/>
        <v>0</v>
      </c>
      <c r="N350" s="5">
        <f t="shared" si="41"/>
        <v>0</v>
      </c>
      <c r="O350" s="5">
        <f t="shared" si="42"/>
        <v>0</v>
      </c>
      <c r="P350" s="3">
        <f t="shared" si="43"/>
        <v>0</v>
      </c>
      <c r="Q350" s="6">
        <f t="shared" si="44"/>
        <v>0</v>
      </c>
    </row>
    <row r="351" spans="1:17" x14ac:dyDescent="0.4">
      <c r="A351" s="2">
        <v>46037</v>
      </c>
      <c r="B351" s="1" t="s">
        <v>51</v>
      </c>
      <c r="C351" s="1" t="s">
        <v>50</v>
      </c>
      <c r="D351" s="1" t="s">
        <v>54</v>
      </c>
      <c r="E351" s="7">
        <v>428571.42857142858</v>
      </c>
      <c r="F351" s="4">
        <v>3</v>
      </c>
      <c r="G351" s="4">
        <v>4</v>
      </c>
      <c r="H351" s="4">
        <v>0</v>
      </c>
      <c r="I351" s="4">
        <v>1</v>
      </c>
      <c r="J351" s="4">
        <v>20000</v>
      </c>
      <c r="K351" s="4"/>
      <c r="L351" s="4"/>
      <c r="M351" s="5">
        <f t="shared" si="40"/>
        <v>0</v>
      </c>
      <c r="N351" s="5">
        <f t="shared" si="41"/>
        <v>1.3333333333333333</v>
      </c>
      <c r="O351" s="5">
        <f t="shared" si="42"/>
        <v>0</v>
      </c>
      <c r="P351" s="3">
        <f t="shared" si="43"/>
        <v>107142.85714285714</v>
      </c>
      <c r="Q351" s="6">
        <f t="shared" si="44"/>
        <v>0.55999999999999994</v>
      </c>
    </row>
    <row r="352" spans="1:17" x14ac:dyDescent="0.4">
      <c r="A352" s="2">
        <v>46037</v>
      </c>
      <c r="B352" s="1" t="s">
        <v>56</v>
      </c>
      <c r="C352" s="1" t="s">
        <v>57</v>
      </c>
      <c r="D352" s="1" t="s">
        <v>59</v>
      </c>
      <c r="E352" s="7">
        <v>122222.22222222223</v>
      </c>
      <c r="F352" s="4">
        <v>4</v>
      </c>
      <c r="G352" s="4"/>
      <c r="H352" s="4"/>
      <c r="I352" s="4"/>
      <c r="J352" s="4"/>
      <c r="K352" s="4"/>
      <c r="L352" s="4"/>
      <c r="M352" s="5">
        <f t="shared" si="40"/>
        <v>0</v>
      </c>
      <c r="N352" s="5">
        <f t="shared" si="41"/>
        <v>0</v>
      </c>
      <c r="O352" s="5">
        <f t="shared" si="42"/>
        <v>0</v>
      </c>
      <c r="P352" s="3">
        <f t="shared" si="43"/>
        <v>0</v>
      </c>
      <c r="Q352" s="6">
        <f t="shared" si="44"/>
        <v>0</v>
      </c>
    </row>
    <row r="353" spans="1:17" x14ac:dyDescent="0.4">
      <c r="A353" s="2">
        <v>46037</v>
      </c>
      <c r="B353" s="1" t="s">
        <v>16</v>
      </c>
      <c r="C353" s="1" t="s">
        <v>58</v>
      </c>
      <c r="D353" s="1" t="s">
        <v>53</v>
      </c>
      <c r="E353" s="7">
        <v>137500</v>
      </c>
      <c r="F353" s="4">
        <v>2</v>
      </c>
      <c r="G353" s="4">
        <v>4</v>
      </c>
      <c r="H353" s="4">
        <v>0</v>
      </c>
      <c r="I353" s="4"/>
      <c r="J353" s="4"/>
      <c r="K353" s="4"/>
      <c r="L353" s="4"/>
      <c r="M353" s="5">
        <f t="shared" si="40"/>
        <v>0</v>
      </c>
      <c r="N353" s="5">
        <f t="shared" si="41"/>
        <v>2</v>
      </c>
      <c r="O353" s="5">
        <f t="shared" si="42"/>
        <v>0</v>
      </c>
      <c r="P353" s="3">
        <f t="shared" si="43"/>
        <v>34375</v>
      </c>
      <c r="Q353" s="6">
        <f t="shared" si="44"/>
        <v>0</v>
      </c>
    </row>
    <row r="354" spans="1:17" x14ac:dyDescent="0.4">
      <c r="A354" s="2">
        <v>46037</v>
      </c>
      <c r="B354" s="1" t="s">
        <v>19</v>
      </c>
      <c r="C354" s="1" t="s">
        <v>20</v>
      </c>
      <c r="D354" s="1" t="s">
        <v>34</v>
      </c>
      <c r="E354" s="7">
        <v>148226.95035460993</v>
      </c>
      <c r="F354" s="4">
        <v>3</v>
      </c>
      <c r="G354" s="4">
        <v>2</v>
      </c>
      <c r="H354" s="4">
        <v>2</v>
      </c>
      <c r="I354" s="4">
        <v>1</v>
      </c>
      <c r="J354" s="4">
        <v>10000</v>
      </c>
      <c r="K354" s="4"/>
      <c r="L354" s="4"/>
      <c r="M354" s="5">
        <f t="shared" si="40"/>
        <v>1</v>
      </c>
      <c r="N354" s="5">
        <f t="shared" si="41"/>
        <v>0.66666666666666663</v>
      </c>
      <c r="O354" s="5">
        <f t="shared" si="42"/>
        <v>0.5</v>
      </c>
      <c r="P354" s="3">
        <f t="shared" si="43"/>
        <v>74113.475177304965</v>
      </c>
      <c r="Q354" s="6">
        <f t="shared" si="44"/>
        <v>0.80956937799043061</v>
      </c>
    </row>
    <row r="355" spans="1:17" x14ac:dyDescent="0.4">
      <c r="A355" s="2">
        <v>46037</v>
      </c>
      <c r="B355" s="1" t="s">
        <v>23</v>
      </c>
      <c r="C355" s="1" t="s">
        <v>37</v>
      </c>
      <c r="D355" s="1" t="s">
        <v>32</v>
      </c>
      <c r="E355" s="7">
        <v>0</v>
      </c>
      <c r="F355" s="4">
        <v>7</v>
      </c>
      <c r="G355" s="4"/>
      <c r="H355" s="4"/>
      <c r="I355" s="4"/>
      <c r="J355" s="4"/>
      <c r="K355" s="4"/>
      <c r="L355" s="4"/>
      <c r="M355" s="5">
        <f t="shared" si="40"/>
        <v>0</v>
      </c>
      <c r="N355" s="5">
        <f t="shared" si="41"/>
        <v>0</v>
      </c>
      <c r="O355" s="5">
        <f t="shared" si="42"/>
        <v>0</v>
      </c>
      <c r="P355" s="3">
        <f t="shared" si="43"/>
        <v>0</v>
      </c>
      <c r="Q355" s="6">
        <f t="shared" si="44"/>
        <v>0</v>
      </c>
    </row>
    <row r="356" spans="1:17" x14ac:dyDescent="0.4">
      <c r="A356" s="2">
        <v>46037</v>
      </c>
      <c r="B356" s="1" t="s">
        <v>21</v>
      </c>
      <c r="C356" s="1" t="s">
        <v>22</v>
      </c>
      <c r="D356" s="1" t="s">
        <v>32</v>
      </c>
      <c r="E356" s="7">
        <v>283870.96774193551</v>
      </c>
      <c r="F356" s="4">
        <v>9</v>
      </c>
      <c r="G356" s="4">
        <v>1</v>
      </c>
      <c r="H356" s="4"/>
      <c r="I356" s="4"/>
      <c r="J356" s="4"/>
      <c r="K356" s="4"/>
      <c r="L356" s="4"/>
      <c r="M356" s="5">
        <f t="shared" si="40"/>
        <v>0</v>
      </c>
      <c r="N356" s="5">
        <f t="shared" si="41"/>
        <v>0.1111111111111111</v>
      </c>
      <c r="O356" s="5">
        <f t="shared" si="42"/>
        <v>0</v>
      </c>
      <c r="P356" s="3">
        <f t="shared" si="43"/>
        <v>283870.96774193551</v>
      </c>
      <c r="Q356" s="6">
        <f t="shared" si="44"/>
        <v>0</v>
      </c>
    </row>
    <row r="357" spans="1:17" x14ac:dyDescent="0.4">
      <c r="A357" s="2">
        <v>46037</v>
      </c>
      <c r="B357" s="1" t="s">
        <v>60</v>
      </c>
      <c r="C357" s="1" t="s">
        <v>63</v>
      </c>
      <c r="D357" s="1" t="s">
        <v>53</v>
      </c>
      <c r="E357" s="7">
        <v>225409.83606557379</v>
      </c>
      <c r="F357" s="4">
        <v>4</v>
      </c>
      <c r="G357" s="4"/>
      <c r="H357" s="4"/>
      <c r="I357" s="4">
        <v>1</v>
      </c>
      <c r="J357" s="4">
        <v>30000</v>
      </c>
      <c r="K357" s="4"/>
      <c r="L357" s="4"/>
      <c r="M357" s="5">
        <f t="shared" si="40"/>
        <v>0</v>
      </c>
      <c r="N357" s="5">
        <f t="shared" si="41"/>
        <v>0</v>
      </c>
      <c r="O357" s="5">
        <f t="shared" si="42"/>
        <v>0</v>
      </c>
      <c r="P357" s="3">
        <f t="shared" si="43"/>
        <v>0</v>
      </c>
      <c r="Q357" s="6">
        <f t="shared" si="44"/>
        <v>1.5970909090909089</v>
      </c>
    </row>
    <row r="358" spans="1:17" x14ac:dyDescent="0.4">
      <c r="A358" s="2">
        <v>46037</v>
      </c>
      <c r="B358" s="1" t="s">
        <v>61</v>
      </c>
      <c r="C358" s="1" t="s">
        <v>64</v>
      </c>
      <c r="D358" s="1" t="s">
        <v>66</v>
      </c>
      <c r="E358" s="7">
        <v>0</v>
      </c>
      <c r="F358" s="4">
        <v>6</v>
      </c>
      <c r="G358" s="4"/>
      <c r="H358" s="4"/>
      <c r="I358" s="4"/>
      <c r="J358" s="4"/>
      <c r="K358" s="4"/>
      <c r="L358" s="4"/>
      <c r="M358" s="5">
        <f t="shared" si="40"/>
        <v>0</v>
      </c>
      <c r="N358" s="5">
        <f t="shared" si="41"/>
        <v>0</v>
      </c>
      <c r="O358" s="5">
        <f t="shared" si="42"/>
        <v>0</v>
      </c>
      <c r="P358" s="3">
        <f t="shared" si="43"/>
        <v>0</v>
      </c>
      <c r="Q358" s="6">
        <f t="shared" si="44"/>
        <v>0</v>
      </c>
    </row>
    <row r="359" spans="1:17" x14ac:dyDescent="0.4">
      <c r="A359" s="2">
        <v>46037</v>
      </c>
      <c r="B359" s="1" t="s">
        <v>62</v>
      </c>
      <c r="C359" s="1" t="s">
        <v>65</v>
      </c>
      <c r="D359" s="1" t="s">
        <v>67</v>
      </c>
      <c r="E359" s="7">
        <v>264423.07692307699</v>
      </c>
      <c r="F359" s="4">
        <v>2</v>
      </c>
      <c r="G359" s="4">
        <v>4</v>
      </c>
      <c r="H359" s="4">
        <v>1</v>
      </c>
      <c r="I359" s="4">
        <v>2</v>
      </c>
      <c r="J359" s="4">
        <v>40000</v>
      </c>
      <c r="K359" s="4"/>
      <c r="L359" s="4"/>
      <c r="M359" s="5">
        <f t="shared" si="40"/>
        <v>0.25</v>
      </c>
      <c r="N359" s="5">
        <f t="shared" si="41"/>
        <v>2</v>
      </c>
      <c r="O359" s="5">
        <f t="shared" si="42"/>
        <v>2</v>
      </c>
      <c r="P359" s="3">
        <f t="shared" si="43"/>
        <v>66105.769230769249</v>
      </c>
      <c r="Q359" s="6">
        <f t="shared" si="44"/>
        <v>1.8152727272727267</v>
      </c>
    </row>
    <row r="360" spans="1:17" x14ac:dyDescent="0.4">
      <c r="A360" s="2">
        <v>46037</v>
      </c>
      <c r="B360" s="1" t="s">
        <v>42</v>
      </c>
      <c r="C360" s="1" t="s">
        <v>38</v>
      </c>
      <c r="D360" s="1" t="s">
        <v>42</v>
      </c>
      <c r="E360" s="7">
        <v>0</v>
      </c>
      <c r="F360" s="4">
        <v>0</v>
      </c>
      <c r="G360" s="4"/>
      <c r="H360" s="4"/>
      <c r="I360" s="4"/>
      <c r="J360" s="4"/>
      <c r="K360" s="4"/>
      <c r="L360" s="4"/>
      <c r="M360" s="5">
        <f t="shared" si="40"/>
        <v>0</v>
      </c>
      <c r="N360" s="5">
        <f t="shared" si="41"/>
        <v>0</v>
      </c>
      <c r="O360" s="5">
        <f t="shared" si="42"/>
        <v>0</v>
      </c>
      <c r="P360" s="3">
        <f t="shared" si="43"/>
        <v>0</v>
      </c>
      <c r="Q360" s="6">
        <f t="shared" si="44"/>
        <v>0</v>
      </c>
    </row>
    <row r="361" spans="1:17" x14ac:dyDescent="0.4">
      <c r="A361" s="2">
        <v>46037</v>
      </c>
      <c r="B361" s="1" t="s">
        <v>7</v>
      </c>
      <c r="C361" s="1" t="s">
        <v>8</v>
      </c>
      <c r="D361" s="1" t="s">
        <v>42</v>
      </c>
      <c r="E361" s="7">
        <v>0</v>
      </c>
      <c r="F361" s="4">
        <v>0</v>
      </c>
      <c r="G361" s="3">
        <v>11</v>
      </c>
      <c r="H361" s="3">
        <v>4</v>
      </c>
      <c r="I361" s="3"/>
      <c r="J361" s="3"/>
      <c r="K361" s="3"/>
      <c r="L361" s="3"/>
      <c r="M361" s="5">
        <f t="shared" si="40"/>
        <v>0.36363636363636365</v>
      </c>
      <c r="N361" s="5">
        <f t="shared" si="41"/>
        <v>0</v>
      </c>
      <c r="O361" s="5">
        <f t="shared" si="42"/>
        <v>0</v>
      </c>
      <c r="P361" s="3">
        <f t="shared" si="43"/>
        <v>0</v>
      </c>
      <c r="Q361" s="6">
        <f t="shared" si="44"/>
        <v>0</v>
      </c>
    </row>
    <row r="362" spans="1:17" x14ac:dyDescent="0.4">
      <c r="A362" s="2">
        <v>46038</v>
      </c>
      <c r="B362" s="1" t="s">
        <v>13</v>
      </c>
      <c r="C362" s="1" t="s">
        <v>14</v>
      </c>
      <c r="D362" s="1" t="s">
        <v>31</v>
      </c>
      <c r="E362" s="7">
        <v>2032065.8342792308</v>
      </c>
      <c r="F362" s="4">
        <v>4</v>
      </c>
      <c r="G362" s="4">
        <v>6</v>
      </c>
      <c r="H362" s="4">
        <v>5</v>
      </c>
      <c r="I362" s="4">
        <v>3</v>
      </c>
      <c r="J362" s="4">
        <v>90000</v>
      </c>
      <c r="K362" s="4"/>
      <c r="L362" s="4"/>
      <c r="M362" s="5">
        <f t="shared" si="40"/>
        <v>0.83333333333333337</v>
      </c>
      <c r="N362" s="5">
        <f t="shared" si="41"/>
        <v>1.5</v>
      </c>
      <c r="O362" s="5">
        <f t="shared" si="42"/>
        <v>0.6</v>
      </c>
      <c r="P362" s="3">
        <f t="shared" si="43"/>
        <v>338677.63904653845</v>
      </c>
      <c r="Q362" s="6">
        <f t="shared" si="44"/>
        <v>0.53147884373690757</v>
      </c>
    </row>
    <row r="363" spans="1:17" x14ac:dyDescent="0.4">
      <c r="A363" s="2">
        <v>46038</v>
      </c>
      <c r="B363" s="1" t="s">
        <v>11</v>
      </c>
      <c r="C363" s="1" t="s">
        <v>12</v>
      </c>
      <c r="D363" s="1" t="s">
        <v>32</v>
      </c>
      <c r="E363" s="7">
        <v>165413.53383458647</v>
      </c>
      <c r="F363" s="4">
        <v>4</v>
      </c>
      <c r="G363" s="4">
        <v>3</v>
      </c>
      <c r="H363" s="4">
        <v>2</v>
      </c>
      <c r="I363" s="4">
        <v>2</v>
      </c>
      <c r="J363" s="4">
        <v>45000</v>
      </c>
      <c r="K363" s="4"/>
      <c r="L363" s="4"/>
      <c r="M363" s="5">
        <f t="shared" si="40"/>
        <v>0.66666666666666663</v>
      </c>
      <c r="N363" s="5">
        <f t="shared" si="41"/>
        <v>0.75</v>
      </c>
      <c r="O363" s="5">
        <f t="shared" si="42"/>
        <v>1</v>
      </c>
      <c r="P363" s="3">
        <f t="shared" si="43"/>
        <v>55137.844611528824</v>
      </c>
      <c r="Q363" s="6">
        <f t="shared" si="44"/>
        <v>3.2645454545454542</v>
      </c>
    </row>
    <row r="364" spans="1:17" x14ac:dyDescent="0.4">
      <c r="A364" s="2">
        <v>46038</v>
      </c>
      <c r="B364" s="1" t="s">
        <v>17</v>
      </c>
      <c r="C364" s="1" t="s">
        <v>18</v>
      </c>
      <c r="D364" s="1" t="s">
        <v>53</v>
      </c>
      <c r="E364" s="7">
        <v>177419.35483870967</v>
      </c>
      <c r="F364" s="4">
        <v>4</v>
      </c>
      <c r="G364" s="4">
        <v>2</v>
      </c>
      <c r="H364" s="4">
        <v>1</v>
      </c>
      <c r="I364" s="4">
        <v>1</v>
      </c>
      <c r="J364" s="4">
        <v>20000</v>
      </c>
      <c r="K364" s="4"/>
      <c r="L364" s="4"/>
      <c r="M364" s="5">
        <f t="shared" si="40"/>
        <v>0.5</v>
      </c>
      <c r="N364" s="5">
        <f t="shared" si="41"/>
        <v>0.5</v>
      </c>
      <c r="O364" s="5">
        <f t="shared" si="42"/>
        <v>1</v>
      </c>
      <c r="P364" s="3">
        <f t="shared" si="43"/>
        <v>88709.677419354834</v>
      </c>
      <c r="Q364" s="6">
        <f t="shared" si="44"/>
        <v>1.3527272727272728</v>
      </c>
    </row>
    <row r="365" spans="1:17" x14ac:dyDescent="0.4">
      <c r="A365" s="2">
        <v>46038</v>
      </c>
      <c r="B365" s="1" t="s">
        <v>25</v>
      </c>
      <c r="C365" s="1" t="s">
        <v>35</v>
      </c>
      <c r="D365" s="1" t="s">
        <v>32</v>
      </c>
      <c r="E365" s="7">
        <v>0</v>
      </c>
      <c r="F365" s="4">
        <v>4</v>
      </c>
      <c r="G365" s="4">
        <v>1</v>
      </c>
      <c r="H365" s="4"/>
      <c r="I365" s="4"/>
      <c r="J365" s="4"/>
      <c r="K365" s="4"/>
      <c r="L365" s="4"/>
      <c r="M365" s="5">
        <f t="shared" si="40"/>
        <v>0</v>
      </c>
      <c r="N365" s="5">
        <f t="shared" si="41"/>
        <v>0.25</v>
      </c>
      <c r="O365" s="5">
        <f t="shared" si="42"/>
        <v>0</v>
      </c>
      <c r="P365" s="3">
        <f t="shared" si="43"/>
        <v>0</v>
      </c>
      <c r="Q365" s="6">
        <f t="shared" si="44"/>
        <v>0</v>
      </c>
    </row>
    <row r="366" spans="1:17" x14ac:dyDescent="0.4">
      <c r="A366" s="2">
        <v>46038</v>
      </c>
      <c r="B366" s="1" t="s">
        <v>24</v>
      </c>
      <c r="C366" s="1" t="s">
        <v>6</v>
      </c>
      <c r="D366" s="1" t="s">
        <v>69</v>
      </c>
      <c r="E366" s="7">
        <v>161117</v>
      </c>
      <c r="F366" s="4">
        <v>4</v>
      </c>
      <c r="G366" s="4"/>
      <c r="H366" s="4"/>
      <c r="I366" s="4"/>
      <c r="J366" s="4"/>
      <c r="K366" s="4"/>
      <c r="L366" s="4"/>
      <c r="M366" s="5">
        <f t="shared" si="40"/>
        <v>0</v>
      </c>
      <c r="N366" s="5">
        <f t="shared" si="41"/>
        <v>0</v>
      </c>
      <c r="O366" s="5">
        <f t="shared" si="42"/>
        <v>0</v>
      </c>
      <c r="P366" s="3">
        <f t="shared" si="43"/>
        <v>0</v>
      </c>
      <c r="Q366" s="6">
        <f t="shared" si="44"/>
        <v>0</v>
      </c>
    </row>
    <row r="367" spans="1:17" x14ac:dyDescent="0.4">
      <c r="A367" s="2">
        <v>46038</v>
      </c>
      <c r="B367" s="1" t="s">
        <v>9</v>
      </c>
      <c r="C367" s="1" t="s">
        <v>6</v>
      </c>
      <c r="D367" s="1" t="s">
        <v>70</v>
      </c>
      <c r="E367" s="7">
        <v>362513</v>
      </c>
      <c r="F367" s="4">
        <v>9</v>
      </c>
      <c r="G367" s="4">
        <v>2</v>
      </c>
      <c r="H367" s="4">
        <v>2</v>
      </c>
      <c r="I367" s="4">
        <v>1</v>
      </c>
      <c r="J367" s="4">
        <v>20000</v>
      </c>
      <c r="K367" s="4"/>
      <c r="L367" s="4"/>
      <c r="M367" s="5">
        <f t="shared" si="40"/>
        <v>1</v>
      </c>
      <c r="N367" s="5">
        <f t="shared" si="41"/>
        <v>0.22222222222222221</v>
      </c>
      <c r="O367" s="5">
        <f t="shared" si="42"/>
        <v>0.5</v>
      </c>
      <c r="P367" s="3">
        <f t="shared" si="43"/>
        <v>181256.5</v>
      </c>
      <c r="Q367" s="6">
        <f t="shared" si="44"/>
        <v>0.66204522320578851</v>
      </c>
    </row>
    <row r="368" spans="1:17" x14ac:dyDescent="0.4">
      <c r="A368" s="2">
        <v>46038</v>
      </c>
      <c r="B368" s="1" t="s">
        <v>15</v>
      </c>
      <c r="C368" s="1" t="s">
        <v>6</v>
      </c>
      <c r="D368" s="1" t="s">
        <v>44</v>
      </c>
      <c r="E368" s="7">
        <v>362513</v>
      </c>
      <c r="F368" s="4">
        <v>9</v>
      </c>
      <c r="G368" s="4">
        <v>4</v>
      </c>
      <c r="H368" s="4">
        <v>2</v>
      </c>
      <c r="I368" s="4">
        <v>1</v>
      </c>
      <c r="J368" s="4">
        <v>20000</v>
      </c>
      <c r="K368" s="4">
        <v>1</v>
      </c>
      <c r="L368" s="4">
        <v>20000</v>
      </c>
      <c r="M368" s="5">
        <f t="shared" si="40"/>
        <v>0.5</v>
      </c>
      <c r="N368" s="5">
        <f t="shared" si="41"/>
        <v>0.44444444444444442</v>
      </c>
      <c r="O368" s="5">
        <f t="shared" si="42"/>
        <v>0.5</v>
      </c>
      <c r="P368" s="3">
        <f t="shared" si="43"/>
        <v>90628.25</v>
      </c>
      <c r="Q368" s="6">
        <f t="shared" si="44"/>
        <v>0.66204522320578851</v>
      </c>
    </row>
    <row r="369" spans="1:17" x14ac:dyDescent="0.4">
      <c r="A369" s="2">
        <v>46038</v>
      </c>
      <c r="B369" s="1" t="s">
        <v>10</v>
      </c>
      <c r="C369" s="1" t="s">
        <v>6</v>
      </c>
      <c r="D369" s="1" t="s">
        <v>33</v>
      </c>
      <c r="E369" s="7">
        <v>201396</v>
      </c>
      <c r="F369" s="4">
        <v>5</v>
      </c>
      <c r="G369" s="4">
        <v>1</v>
      </c>
      <c r="H369" s="4">
        <v>1</v>
      </c>
      <c r="I369" s="4"/>
      <c r="J369" s="4"/>
      <c r="K369" s="4">
        <v>1</v>
      </c>
      <c r="L369" s="4">
        <v>20000</v>
      </c>
      <c r="M369" s="5">
        <f t="shared" si="40"/>
        <v>1</v>
      </c>
      <c r="N369" s="5">
        <f t="shared" si="41"/>
        <v>0.2</v>
      </c>
      <c r="O369" s="5">
        <f t="shared" si="42"/>
        <v>0</v>
      </c>
      <c r="P369" s="3">
        <f t="shared" si="43"/>
        <v>201396</v>
      </c>
      <c r="Q369" s="6">
        <f t="shared" si="44"/>
        <v>0</v>
      </c>
    </row>
    <row r="370" spans="1:17" x14ac:dyDescent="0.4">
      <c r="A370" s="2">
        <v>46038</v>
      </c>
      <c r="B370" s="1" t="s">
        <v>74</v>
      </c>
      <c r="C370" s="1" t="s">
        <v>6</v>
      </c>
      <c r="D370" s="1" t="s">
        <v>71</v>
      </c>
      <c r="E370" s="7">
        <v>161117</v>
      </c>
      <c r="F370" s="4">
        <v>4</v>
      </c>
      <c r="G370" s="4">
        <v>1</v>
      </c>
      <c r="H370" s="4"/>
      <c r="I370" s="4"/>
      <c r="J370" s="4"/>
      <c r="K370" s="4"/>
      <c r="L370" s="4"/>
      <c r="M370" s="5">
        <f t="shared" si="40"/>
        <v>0</v>
      </c>
      <c r="N370" s="5">
        <f t="shared" si="41"/>
        <v>0.25</v>
      </c>
      <c r="O370" s="5">
        <f t="shared" si="42"/>
        <v>0</v>
      </c>
      <c r="P370" s="3">
        <f t="shared" si="43"/>
        <v>161117</v>
      </c>
      <c r="Q370" s="6">
        <f t="shared" si="44"/>
        <v>0</v>
      </c>
    </row>
    <row r="371" spans="1:17" x14ac:dyDescent="0.4">
      <c r="A371" s="2">
        <v>46038</v>
      </c>
      <c r="B371" s="1" t="s">
        <v>75</v>
      </c>
      <c r="C371" s="1" t="s">
        <v>6</v>
      </c>
      <c r="D371" s="1" t="s">
        <v>72</v>
      </c>
      <c r="E371" s="7">
        <v>161117</v>
      </c>
      <c r="F371" s="4">
        <v>4</v>
      </c>
      <c r="G371" s="4">
        <v>1</v>
      </c>
      <c r="H371" s="4">
        <v>1</v>
      </c>
      <c r="I371" s="4"/>
      <c r="J371" s="4"/>
      <c r="K371" s="4">
        <v>1</v>
      </c>
      <c r="L371" s="4">
        <v>100000</v>
      </c>
      <c r="M371" s="5">
        <f t="shared" si="40"/>
        <v>1</v>
      </c>
      <c r="N371" s="5">
        <f t="shared" si="41"/>
        <v>0.25</v>
      </c>
      <c r="O371" s="5">
        <f t="shared" si="42"/>
        <v>0</v>
      </c>
      <c r="P371" s="3">
        <f t="shared" si="43"/>
        <v>161117</v>
      </c>
      <c r="Q371" s="6">
        <f t="shared" si="44"/>
        <v>0</v>
      </c>
    </row>
    <row r="372" spans="1:17" x14ac:dyDescent="0.4">
      <c r="A372" s="2">
        <v>46038</v>
      </c>
      <c r="B372" s="1" t="s">
        <v>76</v>
      </c>
      <c r="C372" s="1" t="s">
        <v>6</v>
      </c>
      <c r="D372" s="1" t="s">
        <v>73</v>
      </c>
      <c r="E372" s="7">
        <v>161117</v>
      </c>
      <c r="F372" s="4">
        <v>4</v>
      </c>
      <c r="G372" s="4"/>
      <c r="H372" s="4"/>
      <c r="I372" s="4"/>
      <c r="J372" s="4"/>
      <c r="K372" s="4"/>
      <c r="L372" s="4"/>
      <c r="M372" s="5">
        <f t="shared" si="40"/>
        <v>0</v>
      </c>
      <c r="N372" s="5">
        <f t="shared" si="41"/>
        <v>0</v>
      </c>
      <c r="O372" s="5">
        <f t="shared" si="42"/>
        <v>0</v>
      </c>
      <c r="P372" s="3">
        <f t="shared" si="43"/>
        <v>0</v>
      </c>
      <c r="Q372" s="6">
        <f t="shared" si="44"/>
        <v>0</v>
      </c>
    </row>
    <row r="373" spans="1:17" x14ac:dyDescent="0.4">
      <c r="A373" s="2">
        <v>46038</v>
      </c>
      <c r="B373" s="1" t="s">
        <v>5</v>
      </c>
      <c r="C373" s="1" t="s">
        <v>6</v>
      </c>
      <c r="D373" s="1" t="s">
        <v>52</v>
      </c>
      <c r="E373" s="7">
        <v>161117</v>
      </c>
      <c r="F373" s="4">
        <v>4</v>
      </c>
      <c r="G373" s="4">
        <v>1</v>
      </c>
      <c r="H373" s="4">
        <v>1</v>
      </c>
      <c r="I373" s="4"/>
      <c r="J373" s="4"/>
      <c r="K373" s="4"/>
      <c r="L373" s="4"/>
      <c r="M373" s="5">
        <f t="shared" si="40"/>
        <v>1</v>
      </c>
      <c r="N373" s="5">
        <f t="shared" si="41"/>
        <v>0.25</v>
      </c>
      <c r="O373" s="5">
        <f t="shared" si="42"/>
        <v>0</v>
      </c>
      <c r="P373" s="3">
        <f t="shared" si="43"/>
        <v>161117</v>
      </c>
      <c r="Q373" s="6">
        <f t="shared" si="44"/>
        <v>0</v>
      </c>
    </row>
    <row r="374" spans="1:17" x14ac:dyDescent="0.4">
      <c r="A374" s="2">
        <v>46038</v>
      </c>
      <c r="B374" s="1" t="s">
        <v>26</v>
      </c>
      <c r="C374" s="1" t="s">
        <v>36</v>
      </c>
      <c r="D374" s="1" t="s">
        <v>52</v>
      </c>
      <c r="E374" s="7">
        <v>0</v>
      </c>
      <c r="F374" s="4">
        <v>1</v>
      </c>
      <c r="G374" s="4"/>
      <c r="H374" s="4"/>
      <c r="I374" s="4"/>
      <c r="J374" s="4"/>
      <c r="K374" s="4"/>
      <c r="L374" s="4"/>
      <c r="M374" s="5">
        <f t="shared" si="40"/>
        <v>0</v>
      </c>
      <c r="N374" s="5">
        <f t="shared" si="41"/>
        <v>0</v>
      </c>
      <c r="O374" s="5">
        <f t="shared" si="42"/>
        <v>0</v>
      </c>
      <c r="P374" s="3">
        <f t="shared" si="43"/>
        <v>0</v>
      </c>
      <c r="Q374" s="6">
        <f t="shared" si="44"/>
        <v>0</v>
      </c>
    </row>
    <row r="375" spans="1:17" x14ac:dyDescent="0.4">
      <c r="A375" s="2">
        <v>46038</v>
      </c>
      <c r="B375" s="1" t="s">
        <v>51</v>
      </c>
      <c r="C375" s="1" t="s">
        <v>50</v>
      </c>
      <c r="D375" s="1" t="s">
        <v>54</v>
      </c>
      <c r="E375" s="7">
        <v>428571.42857142858</v>
      </c>
      <c r="F375" s="4">
        <v>3</v>
      </c>
      <c r="G375" s="4">
        <v>4</v>
      </c>
      <c r="H375" s="4">
        <v>4</v>
      </c>
      <c r="I375" s="4">
        <v>5</v>
      </c>
      <c r="J375" s="4">
        <v>90000</v>
      </c>
      <c r="K375" s="4"/>
      <c r="L375" s="4"/>
      <c r="M375" s="5">
        <f t="shared" si="40"/>
        <v>1</v>
      </c>
      <c r="N375" s="5">
        <f t="shared" si="41"/>
        <v>1.3333333333333333</v>
      </c>
      <c r="O375" s="5">
        <f t="shared" si="42"/>
        <v>1.25</v>
      </c>
      <c r="P375" s="3">
        <f t="shared" si="43"/>
        <v>107142.85714285714</v>
      </c>
      <c r="Q375" s="6">
        <f t="shared" si="44"/>
        <v>2.52</v>
      </c>
    </row>
    <row r="376" spans="1:17" x14ac:dyDescent="0.4">
      <c r="A376" s="2">
        <v>46038</v>
      </c>
      <c r="B376" s="1" t="s">
        <v>16</v>
      </c>
      <c r="C376" s="1" t="s">
        <v>58</v>
      </c>
      <c r="D376" s="1" t="s">
        <v>53</v>
      </c>
      <c r="E376" s="7">
        <v>0</v>
      </c>
      <c r="F376" s="4">
        <v>0</v>
      </c>
      <c r="G376" s="4">
        <v>1</v>
      </c>
      <c r="H376" s="4"/>
      <c r="I376" s="4"/>
      <c r="J376" s="4"/>
      <c r="K376" s="4"/>
      <c r="L376" s="4"/>
      <c r="M376" s="5">
        <f t="shared" si="40"/>
        <v>0</v>
      </c>
      <c r="N376" s="5">
        <f t="shared" si="41"/>
        <v>0</v>
      </c>
      <c r="O376" s="5">
        <f t="shared" si="42"/>
        <v>0</v>
      </c>
      <c r="P376" s="3">
        <f t="shared" si="43"/>
        <v>0</v>
      </c>
      <c r="Q376" s="6">
        <f t="shared" si="44"/>
        <v>0</v>
      </c>
    </row>
    <row r="377" spans="1:17" x14ac:dyDescent="0.4">
      <c r="A377" s="2">
        <v>46038</v>
      </c>
      <c r="B377" s="1" t="s">
        <v>19</v>
      </c>
      <c r="C377" s="1" t="s">
        <v>20</v>
      </c>
      <c r="D377" s="1" t="s">
        <v>34</v>
      </c>
      <c r="E377" s="7">
        <v>195035.46099290781</v>
      </c>
      <c r="F377" s="4">
        <v>4</v>
      </c>
      <c r="G377" s="4"/>
      <c r="H377" s="4"/>
      <c r="I377" s="4"/>
      <c r="J377" s="4"/>
      <c r="K377" s="4"/>
      <c r="L377" s="4"/>
      <c r="M377" s="5">
        <f t="shared" si="40"/>
        <v>0</v>
      </c>
      <c r="N377" s="5">
        <f t="shared" si="41"/>
        <v>0</v>
      </c>
      <c r="O377" s="5">
        <f t="shared" si="42"/>
        <v>0</v>
      </c>
      <c r="P377" s="3">
        <f t="shared" si="43"/>
        <v>0</v>
      </c>
      <c r="Q377" s="6">
        <f t="shared" si="44"/>
        <v>0</v>
      </c>
    </row>
    <row r="378" spans="1:17" x14ac:dyDescent="0.4">
      <c r="A378" s="2">
        <v>46038</v>
      </c>
      <c r="B378" s="1" t="s">
        <v>23</v>
      </c>
      <c r="C378" s="1" t="s">
        <v>37</v>
      </c>
      <c r="D378" s="1" t="s">
        <v>32</v>
      </c>
      <c r="E378" s="7">
        <v>0</v>
      </c>
      <c r="F378" s="4">
        <v>7</v>
      </c>
      <c r="G378" s="4">
        <v>1</v>
      </c>
      <c r="H378" s="4">
        <v>1</v>
      </c>
      <c r="I378" s="4">
        <v>1</v>
      </c>
      <c r="J378" s="4">
        <v>20000</v>
      </c>
      <c r="K378" s="4"/>
      <c r="L378" s="4"/>
      <c r="M378" s="5">
        <f t="shared" si="40"/>
        <v>1</v>
      </c>
      <c r="N378" s="5">
        <f t="shared" si="41"/>
        <v>0.14285714285714285</v>
      </c>
      <c r="O378" s="5">
        <f t="shared" si="42"/>
        <v>1</v>
      </c>
      <c r="P378" s="3">
        <f t="shared" si="43"/>
        <v>0</v>
      </c>
      <c r="Q378" s="6">
        <f t="shared" si="44"/>
        <v>0</v>
      </c>
    </row>
    <row r="379" spans="1:17" x14ac:dyDescent="0.4">
      <c r="A379" s="2">
        <v>46038</v>
      </c>
      <c r="B379" s="1" t="s">
        <v>21</v>
      </c>
      <c r="C379" s="1" t="s">
        <v>22</v>
      </c>
      <c r="D379" s="1" t="s">
        <v>32</v>
      </c>
      <c r="E379" s="7">
        <v>283870.96774193551</v>
      </c>
      <c r="F379" s="4">
        <v>9</v>
      </c>
      <c r="G379" s="4">
        <v>3</v>
      </c>
      <c r="H379" s="4">
        <v>1</v>
      </c>
      <c r="I379" s="4">
        <v>1</v>
      </c>
      <c r="J379" s="4">
        <v>20000</v>
      </c>
      <c r="K379" s="4"/>
      <c r="L379" s="4"/>
      <c r="M379" s="5">
        <f t="shared" si="40"/>
        <v>0.33333333333333331</v>
      </c>
      <c r="N379" s="5">
        <f t="shared" si="41"/>
        <v>0.33333333333333331</v>
      </c>
      <c r="O379" s="5">
        <f t="shared" si="42"/>
        <v>1</v>
      </c>
      <c r="P379" s="3">
        <f t="shared" si="43"/>
        <v>94623.655913978509</v>
      </c>
      <c r="Q379" s="6">
        <f t="shared" si="44"/>
        <v>0.84545454545454535</v>
      </c>
    </row>
    <row r="380" spans="1:17" x14ac:dyDescent="0.4">
      <c r="A380" s="2">
        <v>46038</v>
      </c>
      <c r="B380" s="1" t="s">
        <v>61</v>
      </c>
      <c r="C380" s="1" t="s">
        <v>64</v>
      </c>
      <c r="D380" s="1" t="s">
        <v>66</v>
      </c>
      <c r="E380" s="7">
        <v>0</v>
      </c>
      <c r="F380" s="4">
        <v>0</v>
      </c>
      <c r="G380" s="4"/>
      <c r="H380" s="4"/>
      <c r="I380" s="4"/>
      <c r="J380" s="4"/>
      <c r="K380" s="4"/>
      <c r="L380" s="4"/>
      <c r="M380" s="5">
        <f t="shared" si="40"/>
        <v>0</v>
      </c>
      <c r="N380" s="5">
        <f t="shared" si="41"/>
        <v>0</v>
      </c>
      <c r="O380" s="5">
        <f t="shared" si="42"/>
        <v>0</v>
      </c>
      <c r="P380" s="3">
        <f t="shared" si="43"/>
        <v>0</v>
      </c>
      <c r="Q380" s="6">
        <f t="shared" si="44"/>
        <v>0</v>
      </c>
    </row>
    <row r="381" spans="1:17" x14ac:dyDescent="0.4">
      <c r="A381" s="2">
        <v>46038</v>
      </c>
      <c r="B381" s="1" t="s">
        <v>62</v>
      </c>
      <c r="C381" s="1" t="s">
        <v>65</v>
      </c>
      <c r="D381" s="1" t="s">
        <v>67</v>
      </c>
      <c r="E381" s="7">
        <v>0</v>
      </c>
      <c r="F381" s="4">
        <v>0</v>
      </c>
      <c r="G381" s="4"/>
      <c r="H381" s="4"/>
      <c r="I381" s="4"/>
      <c r="J381" s="4"/>
      <c r="K381" s="4"/>
      <c r="L381" s="4"/>
      <c r="M381" s="5">
        <f t="shared" si="40"/>
        <v>0</v>
      </c>
      <c r="N381" s="5">
        <f t="shared" si="41"/>
        <v>0</v>
      </c>
      <c r="O381" s="5">
        <f t="shared" si="42"/>
        <v>0</v>
      </c>
      <c r="P381" s="3">
        <f t="shared" si="43"/>
        <v>0</v>
      </c>
      <c r="Q381" s="6">
        <f t="shared" si="44"/>
        <v>0</v>
      </c>
    </row>
    <row r="382" spans="1:17" x14ac:dyDescent="0.4">
      <c r="A382" s="2">
        <v>46038</v>
      </c>
      <c r="B382" s="1" t="s">
        <v>42</v>
      </c>
      <c r="C382" s="1" t="s">
        <v>38</v>
      </c>
      <c r="D382" s="1" t="s">
        <v>42</v>
      </c>
      <c r="E382" s="7">
        <v>0</v>
      </c>
      <c r="F382" s="4">
        <v>0</v>
      </c>
      <c r="G382" s="4"/>
      <c r="H382" s="4"/>
      <c r="I382" s="4"/>
      <c r="J382" s="4"/>
      <c r="K382" s="4"/>
      <c r="L382" s="4"/>
      <c r="M382" s="5">
        <f t="shared" si="40"/>
        <v>0</v>
      </c>
      <c r="N382" s="5">
        <f t="shared" si="41"/>
        <v>0</v>
      </c>
      <c r="O382" s="5">
        <f t="shared" si="42"/>
        <v>0</v>
      </c>
      <c r="P382" s="3">
        <f t="shared" si="43"/>
        <v>0</v>
      </c>
      <c r="Q382" s="6">
        <f t="shared" si="44"/>
        <v>0</v>
      </c>
    </row>
    <row r="383" spans="1:17" x14ac:dyDescent="0.4">
      <c r="A383" s="2">
        <v>46038</v>
      </c>
      <c r="B383" s="1" t="s">
        <v>7</v>
      </c>
      <c r="C383" s="1" t="s">
        <v>8</v>
      </c>
      <c r="D383" s="1" t="s">
        <v>42</v>
      </c>
      <c r="E383" s="7">
        <v>0</v>
      </c>
      <c r="F383" s="4">
        <v>0</v>
      </c>
      <c r="G383" s="3">
        <v>2</v>
      </c>
      <c r="H383" s="3">
        <v>1</v>
      </c>
      <c r="I383" s="3"/>
      <c r="J383" s="3"/>
      <c r="K383" s="3"/>
      <c r="L383" s="3"/>
      <c r="M383" s="5">
        <f t="shared" si="40"/>
        <v>0.5</v>
      </c>
      <c r="N383" s="5">
        <f t="shared" si="41"/>
        <v>0</v>
      </c>
      <c r="O383" s="5">
        <f t="shared" si="42"/>
        <v>0</v>
      </c>
      <c r="P383" s="3">
        <f t="shared" si="43"/>
        <v>0</v>
      </c>
      <c r="Q383" s="6">
        <f t="shared" si="44"/>
        <v>0</v>
      </c>
    </row>
    <row r="384" spans="1:17" x14ac:dyDescent="0.4">
      <c r="A384" s="2">
        <v>46039</v>
      </c>
      <c r="B384" s="1" t="s">
        <v>13</v>
      </c>
      <c r="C384" s="1" t="s">
        <v>14</v>
      </c>
      <c r="D384" s="1" t="s">
        <v>31</v>
      </c>
      <c r="E384" s="7">
        <v>611804.76730987593</v>
      </c>
      <c r="F384" s="4">
        <v>1</v>
      </c>
      <c r="G384" s="4">
        <v>3</v>
      </c>
      <c r="H384" s="4"/>
      <c r="I384" s="4"/>
      <c r="J384" s="4"/>
      <c r="K384" s="4"/>
      <c r="L384" s="4"/>
      <c r="M384" s="5">
        <f t="shared" si="40"/>
        <v>0</v>
      </c>
      <c r="N384" s="5">
        <f t="shared" si="41"/>
        <v>3</v>
      </c>
      <c r="O384" s="5">
        <f t="shared" si="42"/>
        <v>0</v>
      </c>
      <c r="P384" s="3">
        <f t="shared" si="43"/>
        <v>203934.92243662532</v>
      </c>
      <c r="Q384" s="6">
        <f t="shared" si="44"/>
        <v>0</v>
      </c>
    </row>
    <row r="385" spans="1:17" x14ac:dyDescent="0.4">
      <c r="A385" s="2">
        <v>46039</v>
      </c>
      <c r="B385" s="1" t="s">
        <v>11</v>
      </c>
      <c r="C385" s="1" t="s">
        <v>12</v>
      </c>
      <c r="D385" s="1" t="s">
        <v>32</v>
      </c>
      <c r="E385" s="7">
        <v>124060.15037593986</v>
      </c>
      <c r="F385" s="4">
        <v>3</v>
      </c>
      <c r="G385" s="4">
        <v>4</v>
      </c>
      <c r="H385" s="4">
        <v>1</v>
      </c>
      <c r="I385" s="4">
        <v>1</v>
      </c>
      <c r="J385" s="4">
        <v>20000</v>
      </c>
      <c r="K385" s="4"/>
      <c r="L385" s="4"/>
      <c r="M385" s="5">
        <f t="shared" si="40"/>
        <v>0.25</v>
      </c>
      <c r="N385" s="5">
        <f t="shared" si="41"/>
        <v>1.3333333333333333</v>
      </c>
      <c r="O385" s="5">
        <f t="shared" si="42"/>
        <v>1</v>
      </c>
      <c r="P385" s="3">
        <f t="shared" si="43"/>
        <v>31015.037593984965</v>
      </c>
      <c r="Q385" s="6">
        <f t="shared" si="44"/>
        <v>1.9345454545454543</v>
      </c>
    </row>
    <row r="386" spans="1:17" x14ac:dyDescent="0.4">
      <c r="A386" s="2">
        <v>46039</v>
      </c>
      <c r="B386" s="1" t="s">
        <v>17</v>
      </c>
      <c r="C386" s="1" t="s">
        <v>18</v>
      </c>
      <c r="D386" s="1" t="s">
        <v>59</v>
      </c>
      <c r="E386" s="7">
        <v>177419.35483870967</v>
      </c>
      <c r="F386" s="4">
        <v>4</v>
      </c>
      <c r="G386" s="4"/>
      <c r="H386" s="4"/>
      <c r="I386" s="4"/>
      <c r="J386" s="4"/>
      <c r="K386" s="4"/>
      <c r="L386" s="4"/>
      <c r="M386" s="5">
        <f t="shared" si="40"/>
        <v>0</v>
      </c>
      <c r="N386" s="5">
        <f t="shared" si="41"/>
        <v>0</v>
      </c>
      <c r="O386" s="5">
        <f t="shared" si="42"/>
        <v>0</v>
      </c>
      <c r="P386" s="3">
        <f t="shared" si="43"/>
        <v>0</v>
      </c>
      <c r="Q386" s="6">
        <f t="shared" si="44"/>
        <v>0</v>
      </c>
    </row>
    <row r="387" spans="1:17" x14ac:dyDescent="0.4">
      <c r="A387" s="2">
        <v>46039</v>
      </c>
      <c r="B387" s="1" t="s">
        <v>25</v>
      </c>
      <c r="C387" s="1" t="s">
        <v>35</v>
      </c>
      <c r="D387" s="1" t="s">
        <v>32</v>
      </c>
      <c r="E387" s="7">
        <v>0</v>
      </c>
      <c r="F387" s="4">
        <v>4</v>
      </c>
      <c r="G387" s="4"/>
      <c r="H387" s="4"/>
      <c r="I387" s="4"/>
      <c r="J387" s="4"/>
      <c r="K387" s="4"/>
      <c r="L387" s="4"/>
      <c r="M387" s="5">
        <f t="shared" si="40"/>
        <v>0</v>
      </c>
      <c r="N387" s="5">
        <f t="shared" si="41"/>
        <v>0</v>
      </c>
      <c r="O387" s="5">
        <f t="shared" si="42"/>
        <v>0</v>
      </c>
      <c r="P387" s="3">
        <f t="shared" si="43"/>
        <v>0</v>
      </c>
      <c r="Q387" s="6">
        <f t="shared" si="44"/>
        <v>0</v>
      </c>
    </row>
    <row r="388" spans="1:17" x14ac:dyDescent="0.4">
      <c r="A388" s="2">
        <v>46039</v>
      </c>
      <c r="B388" s="1" t="s">
        <v>24</v>
      </c>
      <c r="C388" s="1" t="s">
        <v>6</v>
      </c>
      <c r="D388" s="1" t="s">
        <v>69</v>
      </c>
      <c r="E388" s="7">
        <v>210476</v>
      </c>
      <c r="F388" s="4">
        <v>5</v>
      </c>
      <c r="G388" s="4"/>
      <c r="H388" s="4"/>
      <c r="I388" s="4"/>
      <c r="J388" s="4"/>
      <c r="K388" s="4"/>
      <c r="L388" s="4"/>
      <c r="M388" s="5">
        <f t="shared" si="40"/>
        <v>0</v>
      </c>
      <c r="N388" s="5">
        <f t="shared" si="41"/>
        <v>0</v>
      </c>
      <c r="O388" s="5">
        <f t="shared" si="42"/>
        <v>0</v>
      </c>
      <c r="P388" s="3">
        <f t="shared" si="43"/>
        <v>0</v>
      </c>
      <c r="Q388" s="6">
        <f t="shared" si="44"/>
        <v>0</v>
      </c>
    </row>
    <row r="389" spans="1:17" x14ac:dyDescent="0.4">
      <c r="A389" s="2">
        <v>46039</v>
      </c>
      <c r="B389" s="1" t="s">
        <v>9</v>
      </c>
      <c r="C389" s="1" t="s">
        <v>6</v>
      </c>
      <c r="D389" s="1" t="s">
        <v>70</v>
      </c>
      <c r="E389" s="7">
        <v>378856</v>
      </c>
      <c r="F389" s="4">
        <v>9</v>
      </c>
      <c r="G389" s="4">
        <v>1</v>
      </c>
      <c r="H389" s="4">
        <v>1</v>
      </c>
      <c r="I389" s="4">
        <v>1</v>
      </c>
      <c r="J389" s="4">
        <v>30000</v>
      </c>
      <c r="K389" s="4"/>
      <c r="L389" s="4"/>
      <c r="M389" s="5">
        <f t="shared" si="40"/>
        <v>1</v>
      </c>
      <c r="N389" s="5">
        <f t="shared" si="41"/>
        <v>0.1111111111111111</v>
      </c>
      <c r="O389" s="5">
        <f t="shared" si="42"/>
        <v>1</v>
      </c>
      <c r="P389" s="3">
        <f t="shared" si="43"/>
        <v>378856</v>
      </c>
      <c r="Q389" s="6">
        <f t="shared" si="44"/>
        <v>0.95022911079671435</v>
      </c>
    </row>
    <row r="390" spans="1:17" x14ac:dyDescent="0.4">
      <c r="A390" s="2">
        <v>46039</v>
      </c>
      <c r="B390" s="1" t="s">
        <v>15</v>
      </c>
      <c r="C390" s="1" t="s">
        <v>6</v>
      </c>
      <c r="D390" s="1" t="s">
        <v>44</v>
      </c>
      <c r="E390" s="7">
        <v>378856</v>
      </c>
      <c r="F390" s="4">
        <v>9</v>
      </c>
      <c r="G390" s="4">
        <v>3</v>
      </c>
      <c r="H390" s="4">
        <v>1</v>
      </c>
      <c r="I390" s="4">
        <v>1</v>
      </c>
      <c r="J390" s="4">
        <v>20000</v>
      </c>
      <c r="K390" s="4"/>
      <c r="L390" s="4"/>
      <c r="M390" s="5">
        <f t="shared" si="40"/>
        <v>0.33333333333333331</v>
      </c>
      <c r="N390" s="5">
        <f t="shared" si="41"/>
        <v>0.33333333333333331</v>
      </c>
      <c r="O390" s="5">
        <f t="shared" si="42"/>
        <v>1</v>
      </c>
      <c r="P390" s="3">
        <f t="shared" si="43"/>
        <v>126285.33333333333</v>
      </c>
      <c r="Q390" s="6">
        <f t="shared" si="44"/>
        <v>0.6334860738644762</v>
      </c>
    </row>
    <row r="391" spans="1:17" x14ac:dyDescent="0.4">
      <c r="A391" s="2">
        <v>46039</v>
      </c>
      <c r="B391" s="1" t="s">
        <v>10</v>
      </c>
      <c r="C391" s="1" t="s">
        <v>6</v>
      </c>
      <c r="D391" s="1" t="s">
        <v>33</v>
      </c>
      <c r="E391" s="7">
        <v>252571</v>
      </c>
      <c r="F391" s="4">
        <v>6</v>
      </c>
      <c r="G391" s="4">
        <v>1</v>
      </c>
      <c r="H391" s="4"/>
      <c r="I391" s="4"/>
      <c r="J391" s="4"/>
      <c r="K391" s="4"/>
      <c r="L391" s="4"/>
      <c r="M391" s="5">
        <f t="shared" si="40"/>
        <v>0</v>
      </c>
      <c r="N391" s="5">
        <f t="shared" si="41"/>
        <v>0.16666666666666666</v>
      </c>
      <c r="O391" s="5">
        <f t="shared" si="42"/>
        <v>0</v>
      </c>
      <c r="P391" s="3">
        <f t="shared" si="43"/>
        <v>252571</v>
      </c>
      <c r="Q391" s="6">
        <f t="shared" si="44"/>
        <v>0</v>
      </c>
    </row>
    <row r="392" spans="1:17" x14ac:dyDescent="0.4">
      <c r="A392" s="2">
        <v>46039</v>
      </c>
      <c r="B392" s="1" t="s">
        <v>74</v>
      </c>
      <c r="C392" s="1" t="s">
        <v>6</v>
      </c>
      <c r="D392" s="1" t="s">
        <v>71</v>
      </c>
      <c r="E392" s="7">
        <v>210476</v>
      </c>
      <c r="F392" s="4">
        <v>5</v>
      </c>
      <c r="G392" s="4"/>
      <c r="H392" s="4"/>
      <c r="I392" s="4"/>
      <c r="J392" s="4"/>
      <c r="K392" s="4"/>
      <c r="L392" s="4"/>
      <c r="M392" s="5">
        <f t="shared" si="40"/>
        <v>0</v>
      </c>
      <c r="N392" s="5">
        <f t="shared" si="41"/>
        <v>0</v>
      </c>
      <c r="O392" s="5">
        <f t="shared" si="42"/>
        <v>0</v>
      </c>
      <c r="P392" s="3">
        <f t="shared" si="43"/>
        <v>0</v>
      </c>
      <c r="Q392" s="6">
        <f t="shared" si="44"/>
        <v>0</v>
      </c>
    </row>
    <row r="393" spans="1:17" x14ac:dyDescent="0.4">
      <c r="A393" s="2">
        <v>46039</v>
      </c>
      <c r="B393" s="1" t="s">
        <v>75</v>
      </c>
      <c r="C393" s="1" t="s">
        <v>6</v>
      </c>
      <c r="D393" s="1" t="s">
        <v>72</v>
      </c>
      <c r="E393" s="7">
        <v>168380</v>
      </c>
      <c r="F393" s="4">
        <v>4</v>
      </c>
      <c r="G393" s="4"/>
      <c r="H393" s="4"/>
      <c r="I393" s="4"/>
      <c r="J393" s="4"/>
      <c r="K393" s="4"/>
      <c r="L393" s="4"/>
      <c r="M393" s="5">
        <f t="shared" si="40"/>
        <v>0</v>
      </c>
      <c r="N393" s="5">
        <f t="shared" si="41"/>
        <v>0</v>
      </c>
      <c r="O393" s="5">
        <f t="shared" si="42"/>
        <v>0</v>
      </c>
      <c r="P393" s="3">
        <f t="shared" si="43"/>
        <v>0</v>
      </c>
      <c r="Q393" s="6">
        <f t="shared" si="44"/>
        <v>0</v>
      </c>
    </row>
    <row r="394" spans="1:17" x14ac:dyDescent="0.4">
      <c r="A394" s="2">
        <v>46039</v>
      </c>
      <c r="B394" s="1" t="s">
        <v>5</v>
      </c>
      <c r="C394" s="1" t="s">
        <v>6</v>
      </c>
      <c r="D394" s="1" t="s">
        <v>52</v>
      </c>
      <c r="E394" s="7">
        <v>252571</v>
      </c>
      <c r="F394" s="4">
        <v>6</v>
      </c>
      <c r="G394" s="4">
        <v>1</v>
      </c>
      <c r="H394" s="4"/>
      <c r="I394" s="4">
        <v>1</v>
      </c>
      <c r="J394" s="4">
        <v>25000</v>
      </c>
      <c r="K394" s="4"/>
      <c r="L394" s="4"/>
      <c r="M394" s="5">
        <f t="shared" si="40"/>
        <v>0</v>
      </c>
      <c r="N394" s="5">
        <f t="shared" si="41"/>
        <v>0.16666666666666666</v>
      </c>
      <c r="O394" s="5">
        <f t="shared" si="42"/>
        <v>0</v>
      </c>
      <c r="P394" s="3">
        <f t="shared" si="43"/>
        <v>252571</v>
      </c>
      <c r="Q394" s="6">
        <f t="shared" si="44"/>
        <v>1.1877848209018453</v>
      </c>
    </row>
    <row r="395" spans="1:17" x14ac:dyDescent="0.4">
      <c r="A395" s="2">
        <v>46039</v>
      </c>
      <c r="B395" s="1" t="s">
        <v>26</v>
      </c>
      <c r="C395" s="1" t="s">
        <v>36</v>
      </c>
      <c r="D395" s="1" t="s">
        <v>52</v>
      </c>
      <c r="E395" s="7">
        <v>0</v>
      </c>
      <c r="F395" s="4">
        <v>2</v>
      </c>
      <c r="G395" s="4"/>
      <c r="H395" s="4"/>
      <c r="I395" s="4"/>
      <c r="J395" s="4"/>
      <c r="K395" s="4"/>
      <c r="L395" s="4"/>
      <c r="M395" s="5">
        <f t="shared" si="40"/>
        <v>0</v>
      </c>
      <c r="N395" s="5">
        <f t="shared" si="41"/>
        <v>0</v>
      </c>
      <c r="O395" s="5">
        <f t="shared" si="42"/>
        <v>0</v>
      </c>
      <c r="P395" s="3">
        <f t="shared" si="43"/>
        <v>0</v>
      </c>
      <c r="Q395" s="6">
        <f t="shared" si="44"/>
        <v>0</v>
      </c>
    </row>
    <row r="396" spans="1:17" x14ac:dyDescent="0.4">
      <c r="A396" s="2">
        <v>46039</v>
      </c>
      <c r="B396" s="1" t="s">
        <v>51</v>
      </c>
      <c r="C396" s="1" t="s">
        <v>50</v>
      </c>
      <c r="D396" s="1" t="s">
        <v>54</v>
      </c>
      <c r="E396" s="7">
        <v>428571.42857142858</v>
      </c>
      <c r="F396" s="4">
        <v>3</v>
      </c>
      <c r="G396" s="4"/>
      <c r="H396" s="4"/>
      <c r="I396" s="4"/>
      <c r="J396" s="4"/>
      <c r="K396" s="4"/>
      <c r="L396" s="4"/>
      <c r="M396" s="5">
        <f t="shared" si="40"/>
        <v>0</v>
      </c>
      <c r="N396" s="5">
        <f t="shared" si="41"/>
        <v>0</v>
      </c>
      <c r="O396" s="5">
        <f t="shared" si="42"/>
        <v>0</v>
      </c>
      <c r="P396" s="3">
        <f t="shared" si="43"/>
        <v>0</v>
      </c>
      <c r="Q396" s="6">
        <f t="shared" si="44"/>
        <v>0</v>
      </c>
    </row>
    <row r="397" spans="1:17" x14ac:dyDescent="0.4">
      <c r="A397" s="2">
        <v>46039</v>
      </c>
      <c r="B397" s="1" t="s">
        <v>16</v>
      </c>
      <c r="C397" s="1" t="s">
        <v>58</v>
      </c>
      <c r="D397" s="1" t="s">
        <v>53</v>
      </c>
      <c r="E397" s="7">
        <v>0</v>
      </c>
      <c r="F397" s="4">
        <v>0</v>
      </c>
      <c r="G397" s="4"/>
      <c r="H397" s="4"/>
      <c r="I397" s="4"/>
      <c r="J397" s="4"/>
      <c r="K397" s="4"/>
      <c r="L397" s="4"/>
      <c r="M397" s="5">
        <f t="shared" si="40"/>
        <v>0</v>
      </c>
      <c r="N397" s="5">
        <f t="shared" si="41"/>
        <v>0</v>
      </c>
      <c r="O397" s="5">
        <f t="shared" si="42"/>
        <v>0</v>
      </c>
      <c r="P397" s="3">
        <f t="shared" si="43"/>
        <v>0</v>
      </c>
      <c r="Q397" s="6">
        <f t="shared" si="44"/>
        <v>0</v>
      </c>
    </row>
    <row r="398" spans="1:17" x14ac:dyDescent="0.4">
      <c r="A398" s="2">
        <v>46039</v>
      </c>
      <c r="B398" s="1" t="s">
        <v>19</v>
      </c>
      <c r="C398" s="1" t="s">
        <v>20</v>
      </c>
      <c r="D398" s="1" t="s">
        <v>34</v>
      </c>
      <c r="E398" s="7">
        <v>187234.04255319148</v>
      </c>
      <c r="F398" s="4">
        <v>4</v>
      </c>
      <c r="G398" s="4"/>
      <c r="H398" s="4"/>
      <c r="I398" s="4"/>
      <c r="J398" s="4"/>
      <c r="K398" s="4"/>
      <c r="L398" s="4"/>
      <c r="M398" s="5">
        <f t="shared" si="40"/>
        <v>0</v>
      </c>
      <c r="N398" s="5">
        <f t="shared" si="41"/>
        <v>0</v>
      </c>
      <c r="O398" s="5">
        <f t="shared" si="42"/>
        <v>0</v>
      </c>
      <c r="P398" s="3">
        <f t="shared" si="43"/>
        <v>0</v>
      </c>
      <c r="Q398" s="6">
        <f t="shared" si="44"/>
        <v>0</v>
      </c>
    </row>
    <row r="399" spans="1:17" x14ac:dyDescent="0.4">
      <c r="A399" s="2">
        <v>46039</v>
      </c>
      <c r="B399" s="1" t="s">
        <v>23</v>
      </c>
      <c r="C399" s="1" t="s">
        <v>37</v>
      </c>
      <c r="D399" s="1" t="s">
        <v>32</v>
      </c>
      <c r="E399" s="7">
        <v>0</v>
      </c>
      <c r="F399" s="4">
        <v>6</v>
      </c>
      <c r="G399" s="4"/>
      <c r="H399" s="4"/>
      <c r="I399" s="4"/>
      <c r="J399" s="4"/>
      <c r="K399" s="4"/>
      <c r="L399" s="4"/>
      <c r="M399" s="5">
        <f t="shared" si="40"/>
        <v>0</v>
      </c>
      <c r="N399" s="5">
        <f t="shared" si="41"/>
        <v>0</v>
      </c>
      <c r="O399" s="5">
        <f t="shared" si="42"/>
        <v>0</v>
      </c>
      <c r="P399" s="3">
        <f t="shared" si="43"/>
        <v>0</v>
      </c>
      <c r="Q399" s="6">
        <f t="shared" si="44"/>
        <v>0</v>
      </c>
    </row>
    <row r="400" spans="1:17" x14ac:dyDescent="0.4">
      <c r="A400" s="2">
        <v>46039</v>
      </c>
      <c r="B400" s="1" t="s">
        <v>21</v>
      </c>
      <c r="C400" s="1" t="s">
        <v>22</v>
      </c>
      <c r="D400" s="1" t="s">
        <v>32</v>
      </c>
      <c r="E400" s="7">
        <v>283870.96774193551</v>
      </c>
      <c r="F400" s="4">
        <v>9</v>
      </c>
      <c r="G400" s="4">
        <v>3</v>
      </c>
      <c r="H400" s="4">
        <v>1</v>
      </c>
      <c r="I400" s="4">
        <v>1</v>
      </c>
      <c r="J400" s="4">
        <v>10000</v>
      </c>
      <c r="K400" s="4">
        <v>1</v>
      </c>
      <c r="L400" s="4">
        <v>50000</v>
      </c>
      <c r="M400" s="5">
        <f t="shared" si="40"/>
        <v>0.33333333333333331</v>
      </c>
      <c r="N400" s="5">
        <f t="shared" si="41"/>
        <v>0.33333333333333331</v>
      </c>
      <c r="O400" s="5">
        <f t="shared" si="42"/>
        <v>1</v>
      </c>
      <c r="P400" s="3">
        <f t="shared" si="43"/>
        <v>94623.655913978509</v>
      </c>
      <c r="Q400" s="6">
        <f t="shared" si="44"/>
        <v>0.42272727272727267</v>
      </c>
    </row>
    <row r="401" spans="1:17" x14ac:dyDescent="0.4">
      <c r="A401" s="2">
        <v>46039</v>
      </c>
      <c r="B401" s="1" t="s">
        <v>61</v>
      </c>
      <c r="C401" s="1" t="s">
        <v>64</v>
      </c>
      <c r="D401" s="1" t="s">
        <v>66</v>
      </c>
      <c r="E401" s="7">
        <v>0</v>
      </c>
      <c r="F401" s="4">
        <v>0</v>
      </c>
      <c r="G401" s="4"/>
      <c r="H401" s="4"/>
      <c r="I401" s="4"/>
      <c r="J401" s="4"/>
      <c r="K401" s="4"/>
      <c r="L401" s="4"/>
      <c r="M401" s="5">
        <f t="shared" si="40"/>
        <v>0</v>
      </c>
      <c r="N401" s="5">
        <f t="shared" si="41"/>
        <v>0</v>
      </c>
      <c r="O401" s="5">
        <f t="shared" si="42"/>
        <v>0</v>
      </c>
      <c r="P401" s="3">
        <f t="shared" si="43"/>
        <v>0</v>
      </c>
      <c r="Q401" s="6">
        <f t="shared" si="44"/>
        <v>0</v>
      </c>
    </row>
    <row r="402" spans="1:17" x14ac:dyDescent="0.4">
      <c r="A402" s="2">
        <v>46039</v>
      </c>
      <c r="B402" s="1" t="s">
        <v>62</v>
      </c>
      <c r="C402" s="1" t="s">
        <v>65</v>
      </c>
      <c r="D402" s="1" t="s">
        <v>67</v>
      </c>
      <c r="E402" s="7">
        <v>0</v>
      </c>
      <c r="F402" s="4">
        <v>0</v>
      </c>
      <c r="G402" s="4"/>
      <c r="H402" s="4"/>
      <c r="I402" s="4"/>
      <c r="J402" s="4"/>
      <c r="K402" s="4"/>
      <c r="L402" s="4"/>
      <c r="M402" s="5">
        <f t="shared" si="40"/>
        <v>0</v>
      </c>
      <c r="N402" s="5">
        <f t="shared" si="41"/>
        <v>0</v>
      </c>
      <c r="O402" s="5">
        <f t="shared" si="42"/>
        <v>0</v>
      </c>
      <c r="P402" s="3">
        <f t="shared" si="43"/>
        <v>0</v>
      </c>
      <c r="Q402" s="6">
        <f t="shared" si="44"/>
        <v>0</v>
      </c>
    </row>
    <row r="403" spans="1:17" x14ac:dyDescent="0.4">
      <c r="A403" s="2">
        <v>46039</v>
      </c>
      <c r="B403" s="1" t="s">
        <v>42</v>
      </c>
      <c r="C403" s="1" t="s">
        <v>38</v>
      </c>
      <c r="D403" s="1" t="s">
        <v>42</v>
      </c>
      <c r="E403" s="7">
        <v>0</v>
      </c>
      <c r="F403" s="4">
        <v>0</v>
      </c>
      <c r="G403" s="4"/>
      <c r="H403" s="4"/>
      <c r="I403" s="4"/>
      <c r="J403" s="4"/>
      <c r="K403" s="4"/>
      <c r="L403" s="4"/>
      <c r="M403" s="5">
        <f t="shared" si="40"/>
        <v>0</v>
      </c>
      <c r="N403" s="5">
        <f t="shared" si="41"/>
        <v>0</v>
      </c>
      <c r="O403" s="5">
        <f t="shared" si="42"/>
        <v>0</v>
      </c>
      <c r="P403" s="3">
        <f t="shared" si="43"/>
        <v>0</v>
      </c>
      <c r="Q403" s="6">
        <f t="shared" si="44"/>
        <v>0</v>
      </c>
    </row>
    <row r="404" spans="1:17" x14ac:dyDescent="0.4">
      <c r="A404" s="2">
        <v>46039</v>
      </c>
      <c r="B404" s="1" t="s">
        <v>7</v>
      </c>
      <c r="C404" s="1" t="s">
        <v>8</v>
      </c>
      <c r="D404" s="1" t="s">
        <v>42</v>
      </c>
      <c r="E404" s="7">
        <v>0</v>
      </c>
      <c r="F404" s="4">
        <v>0</v>
      </c>
      <c r="G404" s="3">
        <v>3</v>
      </c>
      <c r="H404" s="3">
        <v>1</v>
      </c>
      <c r="I404" s="3"/>
      <c r="J404" s="3"/>
      <c r="K404" s="3"/>
      <c r="L404" s="3"/>
      <c r="M404" s="5">
        <f t="shared" si="40"/>
        <v>0.33333333333333331</v>
      </c>
      <c r="N404" s="5">
        <f t="shared" si="41"/>
        <v>0</v>
      </c>
      <c r="O404" s="5">
        <f t="shared" si="42"/>
        <v>0</v>
      </c>
      <c r="P404" s="3">
        <f t="shared" si="43"/>
        <v>0</v>
      </c>
      <c r="Q404" s="6">
        <f t="shared" si="44"/>
        <v>0</v>
      </c>
    </row>
    <row r="405" spans="1:17" x14ac:dyDescent="0.4">
      <c r="A405" s="2">
        <v>46040</v>
      </c>
      <c r="B405" s="1" t="s">
        <v>13</v>
      </c>
      <c r="C405" s="1" t="s">
        <v>14</v>
      </c>
      <c r="D405" s="1" t="s">
        <v>31</v>
      </c>
      <c r="E405" s="7">
        <v>808456.29965947894</v>
      </c>
      <c r="F405" s="4">
        <v>2</v>
      </c>
      <c r="G405" s="4">
        <v>7</v>
      </c>
      <c r="H405" s="4">
        <v>3</v>
      </c>
      <c r="I405" s="4">
        <v>1</v>
      </c>
      <c r="J405" s="4">
        <v>20000</v>
      </c>
      <c r="K405" s="4"/>
      <c r="L405" s="4"/>
      <c r="M405" s="5">
        <f t="shared" si="40"/>
        <v>0.42857142857142855</v>
      </c>
      <c r="N405" s="5">
        <f t="shared" si="41"/>
        <v>3.5</v>
      </c>
      <c r="O405" s="5">
        <f t="shared" si="42"/>
        <v>0.33333333333333331</v>
      </c>
      <c r="P405" s="3">
        <f t="shared" si="43"/>
        <v>115493.75709421128</v>
      </c>
      <c r="Q405" s="6">
        <f t="shared" si="44"/>
        <v>0.29686205686205647</v>
      </c>
    </row>
    <row r="406" spans="1:17" x14ac:dyDescent="0.4">
      <c r="A406" s="2">
        <v>46040</v>
      </c>
      <c r="B406" s="1" t="s">
        <v>11</v>
      </c>
      <c r="C406" s="1" t="s">
        <v>12</v>
      </c>
      <c r="D406" s="1" t="s">
        <v>32</v>
      </c>
      <c r="E406" s="7">
        <v>124060.15037593986</v>
      </c>
      <c r="F406" s="4">
        <v>3</v>
      </c>
      <c r="G406" s="4">
        <v>4</v>
      </c>
      <c r="H406" s="4">
        <v>4</v>
      </c>
      <c r="I406" s="4">
        <v>1</v>
      </c>
      <c r="J406" s="4">
        <v>30000</v>
      </c>
      <c r="K406" s="4">
        <v>1</v>
      </c>
      <c r="L406" s="4">
        <v>30000</v>
      </c>
      <c r="M406" s="5">
        <f t="shared" si="40"/>
        <v>1</v>
      </c>
      <c r="N406" s="5">
        <f t="shared" si="41"/>
        <v>1.3333333333333333</v>
      </c>
      <c r="O406" s="5">
        <f t="shared" si="42"/>
        <v>0.25</v>
      </c>
      <c r="P406" s="3">
        <f t="shared" si="43"/>
        <v>31015.037593984965</v>
      </c>
      <c r="Q406" s="6">
        <f t="shared" si="44"/>
        <v>2.9018181818181814</v>
      </c>
    </row>
    <row r="407" spans="1:17" x14ac:dyDescent="0.4">
      <c r="A407" s="2">
        <v>46040</v>
      </c>
      <c r="B407" s="1" t="s">
        <v>17</v>
      </c>
      <c r="C407" s="1" t="s">
        <v>18</v>
      </c>
      <c r="D407" s="1" t="s">
        <v>59</v>
      </c>
      <c r="E407" s="7">
        <v>177419.35483870967</v>
      </c>
      <c r="F407" s="4">
        <v>4</v>
      </c>
      <c r="G407" s="4">
        <v>2</v>
      </c>
      <c r="H407" s="4">
        <v>1</v>
      </c>
      <c r="I407" s="4">
        <v>1</v>
      </c>
      <c r="J407" s="4">
        <v>20000</v>
      </c>
      <c r="K407" s="4"/>
      <c r="L407" s="4"/>
      <c r="M407" s="5">
        <f t="shared" si="40"/>
        <v>0.5</v>
      </c>
      <c r="N407" s="5">
        <f t="shared" si="41"/>
        <v>0.5</v>
      </c>
      <c r="O407" s="5">
        <f t="shared" si="42"/>
        <v>1</v>
      </c>
      <c r="P407" s="3">
        <f t="shared" si="43"/>
        <v>88709.677419354834</v>
      </c>
      <c r="Q407" s="6">
        <f t="shared" si="44"/>
        <v>1.3527272727272728</v>
      </c>
    </row>
    <row r="408" spans="1:17" x14ac:dyDescent="0.4">
      <c r="A408" s="2">
        <v>46040</v>
      </c>
      <c r="B408" s="1" t="s">
        <v>25</v>
      </c>
      <c r="C408" s="1" t="s">
        <v>35</v>
      </c>
      <c r="D408" s="1" t="s">
        <v>32</v>
      </c>
      <c r="E408" s="7">
        <v>0</v>
      </c>
      <c r="F408" s="4">
        <v>4</v>
      </c>
      <c r="G408" s="4">
        <v>1</v>
      </c>
      <c r="H408" s="4"/>
      <c r="I408" s="4"/>
      <c r="J408" s="4"/>
      <c r="K408" s="4">
        <v>1</v>
      </c>
      <c r="L408" s="4">
        <v>20000</v>
      </c>
      <c r="M408" s="5">
        <f t="shared" si="40"/>
        <v>0</v>
      </c>
      <c r="N408" s="5">
        <f t="shared" si="41"/>
        <v>0.25</v>
      </c>
      <c r="O408" s="5">
        <f t="shared" si="42"/>
        <v>0</v>
      </c>
      <c r="P408" s="3">
        <f t="shared" si="43"/>
        <v>0</v>
      </c>
      <c r="Q408" s="6">
        <f t="shared" si="44"/>
        <v>0</v>
      </c>
    </row>
    <row r="409" spans="1:17" x14ac:dyDescent="0.4">
      <c r="A409" s="2">
        <v>46040</v>
      </c>
      <c r="B409" s="1" t="s">
        <v>24</v>
      </c>
      <c r="C409" s="1" t="s">
        <v>6</v>
      </c>
      <c r="D409" s="1" t="s">
        <v>69</v>
      </c>
      <c r="E409" s="7">
        <v>204306</v>
      </c>
      <c r="F409" s="4">
        <v>5</v>
      </c>
      <c r="G409" s="4">
        <v>4</v>
      </c>
      <c r="H409" s="4">
        <v>1</v>
      </c>
      <c r="I409" s="4">
        <v>1</v>
      </c>
      <c r="J409" s="4">
        <v>20000</v>
      </c>
      <c r="K409" s="4"/>
      <c r="L409" s="4"/>
      <c r="M409" s="5">
        <f t="shared" ref="M409:M415" si="45">IFERROR(H409/G409,0)</f>
        <v>0.25</v>
      </c>
      <c r="N409" s="5">
        <f t="shared" ref="N409:N415" si="46">IFERROR(G409/F409,0)</f>
        <v>0.8</v>
      </c>
      <c r="O409" s="5">
        <f t="shared" ref="O409:O415" si="47">IFERROR(I409/H409,0)</f>
        <v>1</v>
      </c>
      <c r="P409" s="3">
        <f t="shared" ref="P409:P415" si="48">IFERROR(E409/G409,0)</f>
        <v>51076.5</v>
      </c>
      <c r="Q409" s="6">
        <f t="shared" ref="Q409:Q415" si="49">IFERROR(J409*12/E409,0)</f>
        <v>1.1747085254471235</v>
      </c>
    </row>
    <row r="410" spans="1:17" x14ac:dyDescent="0.4">
      <c r="A410" s="2">
        <v>46040</v>
      </c>
      <c r="B410" s="1" t="s">
        <v>9</v>
      </c>
      <c r="C410" s="1" t="s">
        <v>6</v>
      </c>
      <c r="D410" s="1" t="s">
        <v>70</v>
      </c>
      <c r="E410" s="7">
        <v>408612</v>
      </c>
      <c r="F410" s="4">
        <v>10</v>
      </c>
      <c r="G410" s="4">
        <v>7</v>
      </c>
      <c r="H410" s="4">
        <v>5</v>
      </c>
      <c r="I410" s="4">
        <v>3</v>
      </c>
      <c r="J410" s="4">
        <v>70000</v>
      </c>
      <c r="K410" s="4">
        <v>1</v>
      </c>
      <c r="L410" s="4">
        <v>20000</v>
      </c>
      <c r="M410" s="5">
        <f t="shared" si="45"/>
        <v>0.7142857142857143</v>
      </c>
      <c r="N410" s="5">
        <f t="shared" si="46"/>
        <v>0.7</v>
      </c>
      <c r="O410" s="5">
        <f t="shared" si="47"/>
        <v>0.6</v>
      </c>
      <c r="P410" s="3">
        <f t="shared" si="48"/>
        <v>58373.142857142855</v>
      </c>
      <c r="Q410" s="6">
        <f t="shared" si="49"/>
        <v>2.0557399195324662</v>
      </c>
    </row>
    <row r="411" spans="1:17" x14ac:dyDescent="0.4">
      <c r="A411" s="2">
        <v>46040</v>
      </c>
      <c r="B411" s="1" t="s">
        <v>15</v>
      </c>
      <c r="C411" s="1" t="s">
        <v>6</v>
      </c>
      <c r="D411" s="1" t="s">
        <v>44</v>
      </c>
      <c r="E411" s="7">
        <v>408612</v>
      </c>
      <c r="F411" s="4">
        <v>10</v>
      </c>
      <c r="G411" s="4">
        <v>5</v>
      </c>
      <c r="H411" s="4">
        <v>4</v>
      </c>
      <c r="I411" s="4">
        <v>4</v>
      </c>
      <c r="J411" s="4">
        <v>80000</v>
      </c>
      <c r="K411" s="4"/>
      <c r="L411" s="4"/>
      <c r="M411" s="5">
        <f t="shared" si="45"/>
        <v>0.8</v>
      </c>
      <c r="N411" s="5">
        <f t="shared" si="46"/>
        <v>0.5</v>
      </c>
      <c r="O411" s="5">
        <f t="shared" si="47"/>
        <v>1</v>
      </c>
      <c r="P411" s="3">
        <f t="shared" si="48"/>
        <v>81722.399999999994</v>
      </c>
      <c r="Q411" s="6">
        <f t="shared" si="49"/>
        <v>2.3494170508942469</v>
      </c>
    </row>
    <row r="412" spans="1:17" x14ac:dyDescent="0.4">
      <c r="A412" s="2">
        <v>46040</v>
      </c>
      <c r="B412" s="1" t="s">
        <v>10</v>
      </c>
      <c r="C412" s="1" t="s">
        <v>6</v>
      </c>
      <c r="D412" s="1" t="s">
        <v>33</v>
      </c>
      <c r="E412" s="7">
        <v>286028</v>
      </c>
      <c r="F412" s="4">
        <v>7</v>
      </c>
      <c r="G412" s="4">
        <v>2</v>
      </c>
      <c r="H412" s="4">
        <v>1</v>
      </c>
      <c r="I412" s="4">
        <v>1</v>
      </c>
      <c r="J412" s="4">
        <v>20000</v>
      </c>
      <c r="K412" s="4"/>
      <c r="L412" s="4"/>
      <c r="M412" s="5">
        <f t="shared" si="45"/>
        <v>0.5</v>
      </c>
      <c r="N412" s="5">
        <f t="shared" si="46"/>
        <v>0.2857142857142857</v>
      </c>
      <c r="O412" s="5">
        <f t="shared" si="47"/>
        <v>1</v>
      </c>
      <c r="P412" s="3">
        <f t="shared" si="48"/>
        <v>143014</v>
      </c>
      <c r="Q412" s="6">
        <f t="shared" si="49"/>
        <v>0.83907869159662696</v>
      </c>
    </row>
    <row r="413" spans="1:17" x14ac:dyDescent="0.4">
      <c r="A413" s="2">
        <v>46040</v>
      </c>
      <c r="B413" s="1" t="s">
        <v>74</v>
      </c>
      <c r="C413" s="1" t="s">
        <v>6</v>
      </c>
      <c r="D413" s="1" t="s">
        <v>71</v>
      </c>
      <c r="E413" s="7">
        <v>204306</v>
      </c>
      <c r="F413" s="4">
        <v>5</v>
      </c>
      <c r="G413" s="4"/>
      <c r="H413" s="4"/>
      <c r="I413" s="4"/>
      <c r="J413" s="4"/>
      <c r="K413" s="4"/>
      <c r="L413" s="4"/>
      <c r="M413" s="5">
        <f t="shared" si="45"/>
        <v>0</v>
      </c>
      <c r="N413" s="5">
        <f t="shared" si="46"/>
        <v>0</v>
      </c>
      <c r="O413" s="5">
        <f t="shared" si="47"/>
        <v>0</v>
      </c>
      <c r="P413" s="3">
        <f t="shared" si="48"/>
        <v>0</v>
      </c>
      <c r="Q413" s="6">
        <f t="shared" si="49"/>
        <v>0</v>
      </c>
    </row>
    <row r="414" spans="1:17" x14ac:dyDescent="0.4">
      <c r="A414" s="2">
        <v>46040</v>
      </c>
      <c r="B414" s="1" t="s">
        <v>75</v>
      </c>
      <c r="C414" s="1" t="s">
        <v>6</v>
      </c>
      <c r="D414" s="1" t="s">
        <v>72</v>
      </c>
      <c r="E414" s="7">
        <v>204306</v>
      </c>
      <c r="F414" s="4">
        <v>5</v>
      </c>
      <c r="G414" s="4"/>
      <c r="H414" s="4"/>
      <c r="I414" s="4"/>
      <c r="J414" s="4"/>
      <c r="K414" s="4"/>
      <c r="L414" s="4"/>
      <c r="M414" s="5">
        <f t="shared" si="45"/>
        <v>0</v>
      </c>
      <c r="N414" s="5">
        <f t="shared" si="46"/>
        <v>0</v>
      </c>
      <c r="O414" s="5">
        <f t="shared" si="47"/>
        <v>0</v>
      </c>
      <c r="P414" s="3">
        <f t="shared" si="48"/>
        <v>0</v>
      </c>
      <c r="Q414" s="6">
        <f t="shared" si="49"/>
        <v>0</v>
      </c>
    </row>
    <row r="415" spans="1:17" x14ac:dyDescent="0.4">
      <c r="A415" s="2">
        <v>46040</v>
      </c>
      <c r="B415" s="1" t="s">
        <v>5</v>
      </c>
      <c r="C415" s="1" t="s">
        <v>6</v>
      </c>
      <c r="D415" s="1" t="s">
        <v>52</v>
      </c>
      <c r="E415" s="7">
        <v>326889</v>
      </c>
      <c r="F415" s="4">
        <v>8</v>
      </c>
      <c r="G415" s="4">
        <v>2</v>
      </c>
      <c r="H415" s="4">
        <v>2</v>
      </c>
      <c r="I415" s="4">
        <v>1</v>
      </c>
      <c r="J415" s="4">
        <v>30000</v>
      </c>
      <c r="K415" s="4"/>
      <c r="L415" s="4"/>
      <c r="M415" s="5">
        <f t="shared" si="45"/>
        <v>1</v>
      </c>
      <c r="N415" s="5">
        <f t="shared" si="46"/>
        <v>0.25</v>
      </c>
      <c r="O415" s="5">
        <f t="shared" si="47"/>
        <v>0.5</v>
      </c>
      <c r="P415" s="3">
        <f t="shared" si="48"/>
        <v>163444.5</v>
      </c>
      <c r="Q415" s="6">
        <f t="shared" si="49"/>
        <v>1.1012912640070482</v>
      </c>
    </row>
    <row r="416" spans="1:17" x14ac:dyDescent="0.4">
      <c r="A416" s="2">
        <v>46040</v>
      </c>
      <c r="B416" s="1" t="s">
        <v>26</v>
      </c>
      <c r="C416" s="1" t="s">
        <v>36</v>
      </c>
      <c r="D416" s="1" t="s">
        <v>52</v>
      </c>
      <c r="E416" s="7">
        <v>0</v>
      </c>
      <c r="F416" s="4">
        <v>2</v>
      </c>
      <c r="G416" s="4">
        <v>1</v>
      </c>
      <c r="H416" s="4">
        <v>1</v>
      </c>
      <c r="I416" s="4"/>
      <c r="J416" s="4"/>
      <c r="K416" s="4"/>
      <c r="L416" s="4"/>
      <c r="M416" s="5">
        <f t="shared" ref="M416:M491" si="50">IFERROR(H416/G416,0)</f>
        <v>1</v>
      </c>
      <c r="N416" s="5">
        <f t="shared" ref="N416:N491" si="51">IFERROR(G416/F416,0)</f>
        <v>0.5</v>
      </c>
      <c r="O416" s="5">
        <f t="shared" ref="O416:O491" si="52">IFERROR(I416/H416,0)</f>
        <v>0</v>
      </c>
      <c r="P416" s="3">
        <f t="shared" ref="P416:P491" si="53">IFERROR(E416/G416,0)</f>
        <v>0</v>
      </c>
      <c r="Q416" s="6">
        <f t="shared" ref="Q416:Q491" si="54">IFERROR(J416*12/E416,0)</f>
        <v>0</v>
      </c>
    </row>
    <row r="417" spans="1:17" x14ac:dyDescent="0.4">
      <c r="A417" s="2">
        <v>46040</v>
      </c>
      <c r="B417" s="1" t="s">
        <v>51</v>
      </c>
      <c r="C417" s="1" t="s">
        <v>50</v>
      </c>
      <c r="D417" s="1" t="s">
        <v>54</v>
      </c>
      <c r="E417" s="7">
        <v>428571.42857142858</v>
      </c>
      <c r="F417" s="4">
        <v>3</v>
      </c>
      <c r="G417" s="4"/>
      <c r="H417" s="4"/>
      <c r="I417" s="4"/>
      <c r="J417" s="4"/>
      <c r="K417" s="4"/>
      <c r="L417" s="4"/>
      <c r="M417" s="5">
        <f t="shared" si="50"/>
        <v>0</v>
      </c>
      <c r="N417" s="5">
        <f t="shared" si="51"/>
        <v>0</v>
      </c>
      <c r="O417" s="5">
        <f t="shared" si="52"/>
        <v>0</v>
      </c>
      <c r="P417" s="3">
        <f t="shared" si="53"/>
        <v>0</v>
      </c>
      <c r="Q417" s="6">
        <f t="shared" si="54"/>
        <v>0</v>
      </c>
    </row>
    <row r="418" spans="1:17" x14ac:dyDescent="0.4">
      <c r="A418" s="2">
        <v>46040</v>
      </c>
      <c r="B418" s="1" t="s">
        <v>16</v>
      </c>
      <c r="C418" s="1" t="s">
        <v>58</v>
      </c>
      <c r="D418" s="1" t="s">
        <v>53</v>
      </c>
      <c r="E418" s="7">
        <v>0</v>
      </c>
      <c r="F418" s="4">
        <v>0</v>
      </c>
      <c r="G418" s="4">
        <v>1</v>
      </c>
      <c r="H418" s="4"/>
      <c r="I418" s="4"/>
      <c r="J418" s="4"/>
      <c r="K418" s="4"/>
      <c r="L418" s="4"/>
      <c r="M418" s="5">
        <f t="shared" si="50"/>
        <v>0</v>
      </c>
      <c r="N418" s="5">
        <f t="shared" si="51"/>
        <v>0</v>
      </c>
      <c r="O418" s="5">
        <f t="shared" si="52"/>
        <v>0</v>
      </c>
      <c r="P418" s="3">
        <f t="shared" si="53"/>
        <v>0</v>
      </c>
      <c r="Q418" s="6">
        <f t="shared" si="54"/>
        <v>0</v>
      </c>
    </row>
    <row r="419" spans="1:17" x14ac:dyDescent="0.4">
      <c r="A419" s="2">
        <v>46040</v>
      </c>
      <c r="B419" s="1" t="s">
        <v>19</v>
      </c>
      <c r="C419" s="1" t="s">
        <v>20</v>
      </c>
      <c r="D419" s="1" t="s">
        <v>34</v>
      </c>
      <c r="E419" s="7">
        <v>163829.78723404257</v>
      </c>
      <c r="F419" s="4">
        <v>4</v>
      </c>
      <c r="G419" s="4">
        <v>2</v>
      </c>
      <c r="H419" s="4">
        <v>2</v>
      </c>
      <c r="I419" s="4">
        <v>1</v>
      </c>
      <c r="J419" s="4">
        <v>20000</v>
      </c>
      <c r="K419" s="4"/>
      <c r="L419" s="4"/>
      <c r="M419" s="5">
        <f t="shared" si="50"/>
        <v>1</v>
      </c>
      <c r="N419" s="5">
        <f t="shared" si="51"/>
        <v>0.5</v>
      </c>
      <c r="O419" s="5">
        <f t="shared" si="52"/>
        <v>0.5</v>
      </c>
      <c r="P419" s="3">
        <f t="shared" si="53"/>
        <v>81914.893617021284</v>
      </c>
      <c r="Q419" s="6">
        <f t="shared" si="54"/>
        <v>1.4649350649350648</v>
      </c>
    </row>
    <row r="420" spans="1:17" x14ac:dyDescent="0.4">
      <c r="A420" s="2">
        <v>46040</v>
      </c>
      <c r="B420" s="1" t="s">
        <v>23</v>
      </c>
      <c r="C420" s="1" t="s">
        <v>37</v>
      </c>
      <c r="D420" s="1" t="s">
        <v>32</v>
      </c>
      <c r="E420" s="7">
        <v>0</v>
      </c>
      <c r="F420" s="4">
        <v>6</v>
      </c>
      <c r="G420" s="4"/>
      <c r="H420" s="4"/>
      <c r="I420" s="4"/>
      <c r="J420" s="4"/>
      <c r="K420" s="4"/>
      <c r="L420" s="4"/>
      <c r="M420" s="5">
        <f t="shared" si="50"/>
        <v>0</v>
      </c>
      <c r="N420" s="5">
        <f t="shared" si="51"/>
        <v>0</v>
      </c>
      <c r="O420" s="5">
        <f t="shared" si="52"/>
        <v>0</v>
      </c>
      <c r="P420" s="3">
        <f t="shared" si="53"/>
        <v>0</v>
      </c>
      <c r="Q420" s="6">
        <f t="shared" si="54"/>
        <v>0</v>
      </c>
    </row>
    <row r="421" spans="1:17" x14ac:dyDescent="0.4">
      <c r="A421" s="2">
        <v>46040</v>
      </c>
      <c r="B421" s="1" t="s">
        <v>21</v>
      </c>
      <c r="C421" s="1" t="s">
        <v>22</v>
      </c>
      <c r="D421" s="1" t="s">
        <v>32</v>
      </c>
      <c r="E421" s="7">
        <v>283870.96774193551</v>
      </c>
      <c r="F421" s="4">
        <v>9</v>
      </c>
      <c r="G421" s="4">
        <v>3</v>
      </c>
      <c r="H421" s="4">
        <v>2</v>
      </c>
      <c r="I421" s="4"/>
      <c r="J421" s="4"/>
      <c r="K421" s="4">
        <v>1</v>
      </c>
      <c r="L421" s="4">
        <v>20000</v>
      </c>
      <c r="M421" s="5">
        <f t="shared" si="50"/>
        <v>0.66666666666666663</v>
      </c>
      <c r="N421" s="5">
        <f t="shared" si="51"/>
        <v>0.33333333333333331</v>
      </c>
      <c r="O421" s="5">
        <f t="shared" si="52"/>
        <v>0</v>
      </c>
      <c r="P421" s="3">
        <f t="shared" si="53"/>
        <v>94623.655913978509</v>
      </c>
      <c r="Q421" s="6">
        <f t="shared" si="54"/>
        <v>0</v>
      </c>
    </row>
    <row r="422" spans="1:17" x14ac:dyDescent="0.4">
      <c r="A422" s="2">
        <v>46040</v>
      </c>
      <c r="B422" s="1" t="s">
        <v>61</v>
      </c>
      <c r="C422" s="1" t="s">
        <v>64</v>
      </c>
      <c r="D422" s="1" t="s">
        <v>66</v>
      </c>
      <c r="E422" s="7">
        <v>0</v>
      </c>
      <c r="F422" s="4">
        <v>0</v>
      </c>
      <c r="G422" s="4"/>
      <c r="H422" s="4"/>
      <c r="I422" s="4"/>
      <c r="J422" s="4"/>
      <c r="K422" s="4"/>
      <c r="L422" s="4"/>
      <c r="M422" s="5">
        <f t="shared" si="50"/>
        <v>0</v>
      </c>
      <c r="N422" s="5">
        <f t="shared" si="51"/>
        <v>0</v>
      </c>
      <c r="O422" s="5">
        <f t="shared" si="52"/>
        <v>0</v>
      </c>
      <c r="P422" s="3">
        <f t="shared" si="53"/>
        <v>0</v>
      </c>
      <c r="Q422" s="6">
        <f t="shared" si="54"/>
        <v>0</v>
      </c>
    </row>
    <row r="423" spans="1:17" x14ac:dyDescent="0.4">
      <c r="A423" s="2">
        <v>46040</v>
      </c>
      <c r="B423" s="1" t="s">
        <v>62</v>
      </c>
      <c r="C423" s="1" t="s">
        <v>65</v>
      </c>
      <c r="D423" s="1" t="s">
        <v>67</v>
      </c>
      <c r="E423" s="7">
        <v>0</v>
      </c>
      <c r="F423" s="4">
        <v>0</v>
      </c>
      <c r="G423" s="4"/>
      <c r="H423" s="4"/>
      <c r="I423" s="4"/>
      <c r="J423" s="4"/>
      <c r="K423" s="4"/>
      <c r="L423" s="4"/>
      <c r="M423" s="5">
        <f t="shared" si="50"/>
        <v>0</v>
      </c>
      <c r="N423" s="5">
        <f t="shared" si="51"/>
        <v>0</v>
      </c>
      <c r="O423" s="5">
        <f t="shared" si="52"/>
        <v>0</v>
      </c>
      <c r="P423" s="3">
        <f t="shared" si="53"/>
        <v>0</v>
      </c>
      <c r="Q423" s="6">
        <f t="shared" si="54"/>
        <v>0</v>
      </c>
    </row>
    <row r="424" spans="1:17" x14ac:dyDescent="0.4">
      <c r="A424" s="2">
        <v>46040</v>
      </c>
      <c r="B424" s="1" t="s">
        <v>42</v>
      </c>
      <c r="C424" s="1" t="s">
        <v>38</v>
      </c>
      <c r="D424" s="1" t="s">
        <v>42</v>
      </c>
      <c r="E424" s="7">
        <v>0</v>
      </c>
      <c r="F424" s="4">
        <v>0</v>
      </c>
      <c r="G424" s="4"/>
      <c r="H424" s="4"/>
      <c r="I424" s="4"/>
      <c r="J424" s="4"/>
      <c r="K424" s="4"/>
      <c r="L424" s="4"/>
      <c r="M424" s="5">
        <f t="shared" si="50"/>
        <v>0</v>
      </c>
      <c r="N424" s="5">
        <f t="shared" si="51"/>
        <v>0</v>
      </c>
      <c r="O424" s="5">
        <f t="shared" si="52"/>
        <v>0</v>
      </c>
      <c r="P424" s="3">
        <f t="shared" si="53"/>
        <v>0</v>
      </c>
      <c r="Q424" s="6">
        <f t="shared" si="54"/>
        <v>0</v>
      </c>
    </row>
    <row r="425" spans="1:17" x14ac:dyDescent="0.4">
      <c r="A425" s="2">
        <v>46040</v>
      </c>
      <c r="B425" s="1" t="s">
        <v>7</v>
      </c>
      <c r="C425" s="1" t="s">
        <v>8</v>
      </c>
      <c r="D425" s="1" t="s">
        <v>42</v>
      </c>
      <c r="E425" s="7">
        <v>0</v>
      </c>
      <c r="F425" s="4">
        <v>0</v>
      </c>
      <c r="G425" s="3">
        <v>1</v>
      </c>
      <c r="H425" s="3">
        <v>1</v>
      </c>
      <c r="I425" s="3"/>
      <c r="J425" s="3"/>
      <c r="K425" s="3"/>
      <c r="L425" s="3"/>
      <c r="M425" s="5">
        <f t="shared" si="50"/>
        <v>1</v>
      </c>
      <c r="N425" s="5">
        <f t="shared" si="51"/>
        <v>0</v>
      </c>
      <c r="O425" s="5">
        <f t="shared" si="52"/>
        <v>0</v>
      </c>
      <c r="P425" s="3">
        <f t="shared" si="53"/>
        <v>0</v>
      </c>
      <c r="Q425" s="6">
        <f t="shared" si="54"/>
        <v>0</v>
      </c>
    </row>
    <row r="426" spans="1:17" x14ac:dyDescent="0.4">
      <c r="A426" s="2">
        <v>46041</v>
      </c>
      <c r="B426" s="1" t="s">
        <v>13</v>
      </c>
      <c r="C426" s="1" t="s">
        <v>14</v>
      </c>
      <c r="D426" s="1" t="s">
        <v>31</v>
      </c>
      <c r="E426" s="7">
        <v>1420261.0669693549</v>
      </c>
      <c r="F426" s="4">
        <v>3</v>
      </c>
      <c r="G426" s="4">
        <v>9</v>
      </c>
      <c r="H426" s="4">
        <v>9</v>
      </c>
      <c r="I426" s="4">
        <v>6</v>
      </c>
      <c r="J426" s="4">
        <v>145000</v>
      </c>
      <c r="K426" s="4">
        <v>1</v>
      </c>
      <c r="L426" s="4">
        <v>100000</v>
      </c>
      <c r="M426" s="5">
        <f t="shared" si="50"/>
        <v>1</v>
      </c>
      <c r="N426" s="5">
        <f t="shared" si="51"/>
        <v>3</v>
      </c>
      <c r="O426" s="5">
        <f t="shared" si="52"/>
        <v>0.66666666666666663</v>
      </c>
      <c r="P426" s="3">
        <f t="shared" si="53"/>
        <v>157806.78521881721</v>
      </c>
      <c r="Q426" s="6">
        <f t="shared" si="54"/>
        <v>1.2251268731268716</v>
      </c>
    </row>
    <row r="427" spans="1:17" x14ac:dyDescent="0.4">
      <c r="A427" s="2">
        <v>46041</v>
      </c>
      <c r="B427" s="1" t="s">
        <v>11</v>
      </c>
      <c r="C427" s="1" t="s">
        <v>12</v>
      </c>
      <c r="D427" s="1" t="s">
        <v>32</v>
      </c>
      <c r="E427" s="7">
        <v>165413.53383458647</v>
      </c>
      <c r="F427" s="4">
        <v>4</v>
      </c>
      <c r="G427" s="4">
        <v>9</v>
      </c>
      <c r="H427" s="4">
        <v>7</v>
      </c>
      <c r="I427" s="4">
        <v>3</v>
      </c>
      <c r="J427" s="4">
        <v>60000</v>
      </c>
      <c r="K427" s="4">
        <v>1</v>
      </c>
      <c r="L427" s="4">
        <v>20000</v>
      </c>
      <c r="M427" s="5">
        <f t="shared" si="50"/>
        <v>0.77777777777777779</v>
      </c>
      <c r="N427" s="5">
        <f t="shared" si="51"/>
        <v>2.25</v>
      </c>
      <c r="O427" s="5">
        <f t="shared" si="52"/>
        <v>0.42857142857142855</v>
      </c>
      <c r="P427" s="3">
        <f t="shared" si="53"/>
        <v>18379.281537176274</v>
      </c>
      <c r="Q427" s="6">
        <f t="shared" si="54"/>
        <v>4.3527272727272726</v>
      </c>
    </row>
    <row r="428" spans="1:17" x14ac:dyDescent="0.4">
      <c r="A428" s="2">
        <v>46041</v>
      </c>
      <c r="B428" s="1" t="s">
        <v>17</v>
      </c>
      <c r="C428" s="1" t="s">
        <v>18</v>
      </c>
      <c r="D428" s="1" t="s">
        <v>59</v>
      </c>
      <c r="E428" s="7">
        <v>177419.35483870967</v>
      </c>
      <c r="F428" s="4">
        <v>4</v>
      </c>
      <c r="G428" s="4">
        <v>1</v>
      </c>
      <c r="H428" s="4"/>
      <c r="I428" s="4"/>
      <c r="J428" s="4"/>
      <c r="K428" s="4"/>
      <c r="L428" s="4"/>
      <c r="M428" s="5">
        <f t="shared" si="50"/>
        <v>0</v>
      </c>
      <c r="N428" s="5">
        <f t="shared" si="51"/>
        <v>0.25</v>
      </c>
      <c r="O428" s="5">
        <f t="shared" si="52"/>
        <v>0</v>
      </c>
      <c r="P428" s="3">
        <f t="shared" si="53"/>
        <v>177419.35483870967</v>
      </c>
      <c r="Q428" s="6">
        <f t="shared" si="54"/>
        <v>0</v>
      </c>
    </row>
    <row r="429" spans="1:17" x14ac:dyDescent="0.4">
      <c r="A429" s="2">
        <v>46041</v>
      </c>
      <c r="B429" s="1" t="s">
        <v>25</v>
      </c>
      <c r="C429" s="1" t="s">
        <v>35</v>
      </c>
      <c r="D429" s="1" t="s">
        <v>32</v>
      </c>
      <c r="E429" s="7">
        <v>0</v>
      </c>
      <c r="F429" s="4">
        <v>4</v>
      </c>
      <c r="G429" s="4"/>
      <c r="H429" s="4"/>
      <c r="I429" s="4"/>
      <c r="J429" s="4"/>
      <c r="K429" s="4"/>
      <c r="L429" s="4"/>
      <c r="M429" s="5">
        <f t="shared" si="50"/>
        <v>0</v>
      </c>
      <c r="N429" s="5">
        <f t="shared" si="51"/>
        <v>0</v>
      </c>
      <c r="O429" s="5">
        <f t="shared" si="52"/>
        <v>0</v>
      </c>
      <c r="P429" s="3">
        <f t="shared" si="53"/>
        <v>0</v>
      </c>
      <c r="Q429" s="6">
        <f t="shared" si="54"/>
        <v>0</v>
      </c>
    </row>
    <row r="430" spans="1:17" x14ac:dyDescent="0.4">
      <c r="A430" s="2">
        <v>46041</v>
      </c>
      <c r="B430" s="1" t="s">
        <v>24</v>
      </c>
      <c r="C430" s="1" t="s">
        <v>6</v>
      </c>
      <c r="D430" s="1" t="s">
        <v>69</v>
      </c>
      <c r="E430" s="7">
        <v>156271</v>
      </c>
      <c r="F430" s="4">
        <v>4</v>
      </c>
      <c r="G430" s="4" t="s">
        <v>68</v>
      </c>
      <c r="H430" s="4" t="s">
        <v>68</v>
      </c>
      <c r="I430" s="4" t="s">
        <v>68</v>
      </c>
      <c r="J430" s="4" t="s">
        <v>68</v>
      </c>
      <c r="K430" s="4" t="s">
        <v>68</v>
      </c>
      <c r="L430" s="4" t="s">
        <v>68</v>
      </c>
      <c r="M430" s="5">
        <f t="shared" si="50"/>
        <v>0</v>
      </c>
      <c r="N430" s="5">
        <f t="shared" si="51"/>
        <v>0</v>
      </c>
      <c r="O430" s="5">
        <f t="shared" si="52"/>
        <v>0</v>
      </c>
      <c r="P430" s="3">
        <f t="shared" si="53"/>
        <v>0</v>
      </c>
      <c r="Q430" s="6">
        <f t="shared" si="54"/>
        <v>0</v>
      </c>
    </row>
    <row r="431" spans="1:17" x14ac:dyDescent="0.4">
      <c r="A431" s="2">
        <v>46041</v>
      </c>
      <c r="B431" s="1" t="s">
        <v>9</v>
      </c>
      <c r="C431" s="1" t="s">
        <v>6</v>
      </c>
      <c r="D431" s="1" t="s">
        <v>70</v>
      </c>
      <c r="E431" s="7">
        <v>273474</v>
      </c>
      <c r="F431" s="4">
        <v>7</v>
      </c>
      <c r="G431" s="4">
        <v>1</v>
      </c>
      <c r="H431" s="4" t="s">
        <v>68</v>
      </c>
      <c r="I431" s="4" t="s">
        <v>68</v>
      </c>
      <c r="J431" s="4" t="s">
        <v>68</v>
      </c>
      <c r="K431" s="4" t="s">
        <v>68</v>
      </c>
      <c r="L431" s="4" t="s">
        <v>68</v>
      </c>
      <c r="M431" s="5">
        <f t="shared" si="50"/>
        <v>0</v>
      </c>
      <c r="N431" s="5">
        <f t="shared" si="51"/>
        <v>0.14285714285714285</v>
      </c>
      <c r="O431" s="5">
        <f t="shared" si="52"/>
        <v>0</v>
      </c>
      <c r="P431" s="3">
        <f t="shared" si="53"/>
        <v>273474</v>
      </c>
      <c r="Q431" s="6">
        <f t="shared" si="54"/>
        <v>0</v>
      </c>
    </row>
    <row r="432" spans="1:17" x14ac:dyDescent="0.4">
      <c r="A432" s="2">
        <v>46041</v>
      </c>
      <c r="B432" s="1" t="s">
        <v>15</v>
      </c>
      <c r="C432" s="1" t="s">
        <v>6</v>
      </c>
      <c r="D432" s="1" t="s">
        <v>44</v>
      </c>
      <c r="E432" s="7">
        <v>273474</v>
      </c>
      <c r="F432" s="4">
        <v>7</v>
      </c>
      <c r="G432" s="4">
        <v>1</v>
      </c>
      <c r="H432" s="4">
        <v>1</v>
      </c>
      <c r="I432" s="4" t="s">
        <v>68</v>
      </c>
      <c r="J432" s="4" t="s">
        <v>68</v>
      </c>
      <c r="K432" s="4" t="s">
        <v>68</v>
      </c>
      <c r="L432" s="4" t="s">
        <v>68</v>
      </c>
      <c r="M432" s="5">
        <f t="shared" si="50"/>
        <v>1</v>
      </c>
      <c r="N432" s="5">
        <f t="shared" si="51"/>
        <v>0.14285714285714285</v>
      </c>
      <c r="O432" s="5">
        <f t="shared" si="52"/>
        <v>0</v>
      </c>
      <c r="P432" s="3">
        <f t="shared" si="53"/>
        <v>273474</v>
      </c>
      <c r="Q432" s="6">
        <f t="shared" si="54"/>
        <v>0</v>
      </c>
    </row>
    <row r="433" spans="1:17" x14ac:dyDescent="0.4">
      <c r="A433" s="2">
        <v>46041</v>
      </c>
      <c r="B433" s="1" t="s">
        <v>10</v>
      </c>
      <c r="C433" s="1" t="s">
        <v>6</v>
      </c>
      <c r="D433" s="1" t="s">
        <v>33</v>
      </c>
      <c r="E433" s="7">
        <v>234407</v>
      </c>
      <c r="F433" s="4">
        <v>6</v>
      </c>
      <c r="G433" s="4">
        <v>2</v>
      </c>
      <c r="H433" s="4">
        <v>1</v>
      </c>
      <c r="I433" s="4" t="s">
        <v>68</v>
      </c>
      <c r="J433" s="4" t="s">
        <v>68</v>
      </c>
      <c r="K433" s="4">
        <v>1</v>
      </c>
      <c r="L433" s="4">
        <v>20000</v>
      </c>
      <c r="M433" s="5">
        <f t="shared" si="50"/>
        <v>0.5</v>
      </c>
      <c r="N433" s="5">
        <f t="shared" si="51"/>
        <v>0.33333333333333331</v>
      </c>
      <c r="O433" s="5">
        <f t="shared" si="52"/>
        <v>0</v>
      </c>
      <c r="P433" s="3">
        <f t="shared" si="53"/>
        <v>117203.5</v>
      </c>
      <c r="Q433" s="6">
        <f t="shared" si="54"/>
        <v>0</v>
      </c>
    </row>
    <row r="434" spans="1:17" x14ac:dyDescent="0.4">
      <c r="A434" s="2">
        <v>46041</v>
      </c>
      <c r="B434" s="1" t="s">
        <v>74</v>
      </c>
      <c r="C434" s="1" t="s">
        <v>6</v>
      </c>
      <c r="D434" s="1" t="s">
        <v>71</v>
      </c>
      <c r="E434" s="7">
        <v>156271</v>
      </c>
      <c r="F434" s="4">
        <v>4</v>
      </c>
      <c r="G434" s="4" t="s">
        <v>68</v>
      </c>
      <c r="H434" s="4" t="s">
        <v>68</v>
      </c>
      <c r="I434" s="4" t="s">
        <v>68</v>
      </c>
      <c r="J434" s="4" t="s">
        <v>68</v>
      </c>
      <c r="K434" s="4" t="s">
        <v>68</v>
      </c>
      <c r="L434" s="4" t="s">
        <v>68</v>
      </c>
      <c r="M434" s="5">
        <f t="shared" si="50"/>
        <v>0</v>
      </c>
      <c r="N434" s="5">
        <f t="shared" si="51"/>
        <v>0</v>
      </c>
      <c r="O434" s="5">
        <f t="shared" si="52"/>
        <v>0</v>
      </c>
      <c r="P434" s="3">
        <f t="shared" si="53"/>
        <v>0</v>
      </c>
      <c r="Q434" s="6">
        <f t="shared" si="54"/>
        <v>0</v>
      </c>
    </row>
    <row r="435" spans="1:17" x14ac:dyDescent="0.4">
      <c r="A435" s="2">
        <v>46041</v>
      </c>
      <c r="B435" s="1" t="s">
        <v>75</v>
      </c>
      <c r="C435" s="1" t="s">
        <v>6</v>
      </c>
      <c r="D435" s="1" t="s">
        <v>72</v>
      </c>
      <c r="E435" s="7">
        <v>156271</v>
      </c>
      <c r="F435" s="4">
        <v>4</v>
      </c>
      <c r="G435" s="4">
        <v>2</v>
      </c>
      <c r="H435" s="4">
        <v>1</v>
      </c>
      <c r="I435" s="4">
        <v>1</v>
      </c>
      <c r="J435" s="4">
        <v>25000</v>
      </c>
      <c r="K435" s="4" t="s">
        <v>68</v>
      </c>
      <c r="L435" s="4" t="s">
        <v>68</v>
      </c>
      <c r="M435" s="5">
        <f t="shared" si="50"/>
        <v>0.5</v>
      </c>
      <c r="N435" s="5">
        <f t="shared" si="51"/>
        <v>0.5</v>
      </c>
      <c r="O435" s="5">
        <f t="shared" si="52"/>
        <v>1</v>
      </c>
      <c r="P435" s="3">
        <f t="shared" si="53"/>
        <v>78135.5</v>
      </c>
      <c r="Q435" s="6">
        <f t="shared" si="54"/>
        <v>1.9197419866769907</v>
      </c>
    </row>
    <row r="436" spans="1:17" x14ac:dyDescent="0.4">
      <c r="A436" s="2">
        <v>46041</v>
      </c>
      <c r="B436" s="1" t="s">
        <v>5</v>
      </c>
      <c r="C436" s="1" t="s">
        <v>6</v>
      </c>
      <c r="D436" s="1" t="s">
        <v>52</v>
      </c>
      <c r="E436" s="7">
        <v>234407</v>
      </c>
      <c r="F436" s="4">
        <v>6</v>
      </c>
      <c r="G436" s="4" t="s">
        <v>68</v>
      </c>
      <c r="H436" s="4" t="s">
        <v>68</v>
      </c>
      <c r="I436" s="4" t="s">
        <v>68</v>
      </c>
      <c r="J436" s="4" t="s">
        <v>68</v>
      </c>
      <c r="K436" s="4" t="s">
        <v>68</v>
      </c>
      <c r="L436" s="4" t="s">
        <v>68</v>
      </c>
      <c r="M436" s="5">
        <f t="shared" si="50"/>
        <v>0</v>
      </c>
      <c r="N436" s="5">
        <f t="shared" si="51"/>
        <v>0</v>
      </c>
      <c r="O436" s="5">
        <f t="shared" si="52"/>
        <v>0</v>
      </c>
      <c r="P436" s="3">
        <f t="shared" si="53"/>
        <v>0</v>
      </c>
      <c r="Q436" s="6">
        <f t="shared" si="54"/>
        <v>0</v>
      </c>
    </row>
    <row r="437" spans="1:17" x14ac:dyDescent="0.4">
      <c r="A437" s="2">
        <v>46041</v>
      </c>
      <c r="B437" s="1" t="s">
        <v>26</v>
      </c>
      <c r="C437" s="1" t="s">
        <v>36</v>
      </c>
      <c r="D437" s="1" t="s">
        <v>52</v>
      </c>
      <c r="E437" s="7">
        <v>0</v>
      </c>
      <c r="F437" s="4">
        <v>2</v>
      </c>
      <c r="G437" s="4"/>
      <c r="H437" s="4"/>
      <c r="I437" s="4"/>
      <c r="J437" s="4"/>
      <c r="K437" s="4"/>
      <c r="L437" s="4"/>
      <c r="M437" s="5">
        <f t="shared" si="50"/>
        <v>0</v>
      </c>
      <c r="N437" s="5">
        <f t="shared" si="51"/>
        <v>0</v>
      </c>
      <c r="O437" s="5">
        <f t="shared" si="52"/>
        <v>0</v>
      </c>
      <c r="P437" s="3">
        <f t="shared" si="53"/>
        <v>0</v>
      </c>
      <c r="Q437" s="6">
        <f t="shared" si="54"/>
        <v>0</v>
      </c>
    </row>
    <row r="438" spans="1:17" x14ac:dyDescent="0.4">
      <c r="A438" s="2">
        <v>46041</v>
      </c>
      <c r="B438" s="1" t="s">
        <v>51</v>
      </c>
      <c r="C438" s="1" t="s">
        <v>50</v>
      </c>
      <c r="D438" s="1" t="s">
        <v>54</v>
      </c>
      <c r="E438" s="7">
        <v>428571.42857142858</v>
      </c>
      <c r="F438" s="4">
        <v>3</v>
      </c>
      <c r="G438" s="4">
        <v>4</v>
      </c>
      <c r="H438" s="4">
        <v>3</v>
      </c>
      <c r="I438" s="4">
        <v>1</v>
      </c>
      <c r="J438" s="4">
        <v>20000</v>
      </c>
      <c r="K438" s="4"/>
      <c r="L438" s="4"/>
      <c r="M438" s="5">
        <f t="shared" si="50"/>
        <v>0.75</v>
      </c>
      <c r="N438" s="5">
        <f t="shared" si="51"/>
        <v>1.3333333333333333</v>
      </c>
      <c r="O438" s="5">
        <f t="shared" si="52"/>
        <v>0.33333333333333331</v>
      </c>
      <c r="P438" s="3">
        <f t="shared" si="53"/>
        <v>107142.85714285714</v>
      </c>
      <c r="Q438" s="6">
        <f t="shared" si="54"/>
        <v>0.55999999999999994</v>
      </c>
    </row>
    <row r="439" spans="1:17" x14ac:dyDescent="0.4">
      <c r="A439" s="2">
        <v>46041</v>
      </c>
      <c r="B439" s="1" t="s">
        <v>56</v>
      </c>
      <c r="C439" s="1" t="s">
        <v>57</v>
      </c>
      <c r="D439" s="1" t="s">
        <v>59</v>
      </c>
      <c r="E439" s="7">
        <v>0</v>
      </c>
      <c r="F439" s="4">
        <v>0</v>
      </c>
      <c r="G439" s="4">
        <v>1</v>
      </c>
      <c r="H439" s="4"/>
      <c r="I439" s="4"/>
      <c r="J439" s="4"/>
      <c r="K439" s="4"/>
      <c r="L439" s="4"/>
      <c r="M439" s="5">
        <f t="shared" si="50"/>
        <v>0</v>
      </c>
      <c r="N439" s="5">
        <f t="shared" si="51"/>
        <v>0</v>
      </c>
      <c r="O439" s="5">
        <f t="shared" si="52"/>
        <v>0</v>
      </c>
      <c r="P439" s="3">
        <f t="shared" si="53"/>
        <v>0</v>
      </c>
      <c r="Q439" s="6">
        <f t="shared" si="54"/>
        <v>0</v>
      </c>
    </row>
    <row r="440" spans="1:17" x14ac:dyDescent="0.4">
      <c r="A440" s="2">
        <v>46041</v>
      </c>
      <c r="B440" s="1" t="s">
        <v>16</v>
      </c>
      <c r="C440" s="1" t="s">
        <v>58</v>
      </c>
      <c r="D440" s="1" t="s">
        <v>53</v>
      </c>
      <c r="E440" s="7">
        <v>0</v>
      </c>
      <c r="F440" s="4">
        <v>0</v>
      </c>
      <c r="G440" s="4"/>
      <c r="H440" s="4"/>
      <c r="I440" s="4"/>
      <c r="J440" s="4"/>
      <c r="K440" s="4"/>
      <c r="L440" s="4"/>
      <c r="M440" s="5">
        <f t="shared" si="50"/>
        <v>0</v>
      </c>
      <c r="N440" s="5">
        <f t="shared" si="51"/>
        <v>0</v>
      </c>
      <c r="O440" s="5">
        <f t="shared" si="52"/>
        <v>0</v>
      </c>
      <c r="P440" s="3">
        <f t="shared" si="53"/>
        <v>0</v>
      </c>
      <c r="Q440" s="6">
        <f t="shared" si="54"/>
        <v>0</v>
      </c>
    </row>
    <row r="441" spans="1:17" x14ac:dyDescent="0.4">
      <c r="A441" s="2">
        <v>46041</v>
      </c>
      <c r="B441" s="1" t="s">
        <v>19</v>
      </c>
      <c r="C441" s="1" t="s">
        <v>20</v>
      </c>
      <c r="D441" s="1" t="s">
        <v>34</v>
      </c>
      <c r="E441" s="7">
        <v>202836.87943262412</v>
      </c>
      <c r="F441" s="4">
        <v>4</v>
      </c>
      <c r="G441" s="4">
        <v>2</v>
      </c>
      <c r="H441" s="4">
        <v>2</v>
      </c>
      <c r="I441" s="4"/>
      <c r="J441" s="4"/>
      <c r="K441" s="4">
        <v>1</v>
      </c>
      <c r="L441" s="4">
        <v>10000</v>
      </c>
      <c r="M441" s="5">
        <f t="shared" si="50"/>
        <v>1</v>
      </c>
      <c r="N441" s="5">
        <f t="shared" si="51"/>
        <v>0.5</v>
      </c>
      <c r="O441" s="5">
        <f t="shared" si="52"/>
        <v>0</v>
      </c>
      <c r="P441" s="3">
        <f t="shared" si="53"/>
        <v>101418.43971631206</v>
      </c>
      <c r="Q441" s="6">
        <f t="shared" si="54"/>
        <v>0</v>
      </c>
    </row>
    <row r="442" spans="1:17" x14ac:dyDescent="0.4">
      <c r="A442" s="2">
        <v>46041</v>
      </c>
      <c r="B442" s="1" t="s">
        <v>23</v>
      </c>
      <c r="C442" s="1" t="s">
        <v>37</v>
      </c>
      <c r="D442" s="1" t="s">
        <v>32</v>
      </c>
      <c r="E442" s="7">
        <v>0</v>
      </c>
      <c r="F442" s="4">
        <v>6</v>
      </c>
      <c r="G442" s="4">
        <v>1</v>
      </c>
      <c r="H442" s="4"/>
      <c r="I442" s="4">
        <v>1</v>
      </c>
      <c r="J442" s="4">
        <v>20000</v>
      </c>
      <c r="K442" s="4"/>
      <c r="L442" s="4"/>
      <c r="M442" s="5">
        <f t="shared" si="50"/>
        <v>0</v>
      </c>
      <c r="N442" s="5">
        <f t="shared" si="51"/>
        <v>0.16666666666666666</v>
      </c>
      <c r="O442" s="5">
        <f t="shared" si="52"/>
        <v>0</v>
      </c>
      <c r="P442" s="3">
        <f t="shared" si="53"/>
        <v>0</v>
      </c>
      <c r="Q442" s="6">
        <f t="shared" si="54"/>
        <v>0</v>
      </c>
    </row>
    <row r="443" spans="1:17" x14ac:dyDescent="0.4">
      <c r="A443" s="2">
        <v>46041</v>
      </c>
      <c r="B443" s="1" t="s">
        <v>21</v>
      </c>
      <c r="C443" s="1" t="s">
        <v>22</v>
      </c>
      <c r="D443" s="1" t="s">
        <v>32</v>
      </c>
      <c r="E443" s="7">
        <v>283870.96774193551</v>
      </c>
      <c r="F443" s="4">
        <v>9</v>
      </c>
      <c r="G443" s="4">
        <v>4</v>
      </c>
      <c r="H443" s="4">
        <v>1</v>
      </c>
      <c r="I443" s="4">
        <v>1</v>
      </c>
      <c r="J443" s="4">
        <v>20000</v>
      </c>
      <c r="K443" s="4"/>
      <c r="L443" s="4"/>
      <c r="M443" s="5">
        <f t="shared" si="50"/>
        <v>0.25</v>
      </c>
      <c r="N443" s="5">
        <f t="shared" si="51"/>
        <v>0.44444444444444442</v>
      </c>
      <c r="O443" s="5">
        <f t="shared" si="52"/>
        <v>1</v>
      </c>
      <c r="P443" s="3">
        <f t="shared" si="53"/>
        <v>70967.741935483878</v>
      </c>
      <c r="Q443" s="6">
        <f t="shared" si="54"/>
        <v>0.84545454545454535</v>
      </c>
    </row>
    <row r="444" spans="1:17" x14ac:dyDescent="0.4">
      <c r="A444" s="2">
        <v>46041</v>
      </c>
      <c r="B444" s="1" t="s">
        <v>61</v>
      </c>
      <c r="C444" s="1" t="s">
        <v>64</v>
      </c>
      <c r="D444" s="1" t="s">
        <v>66</v>
      </c>
      <c r="E444" s="7">
        <v>0</v>
      </c>
      <c r="F444" s="4">
        <v>0</v>
      </c>
      <c r="G444" s="4"/>
      <c r="H444" s="4"/>
      <c r="I444" s="4"/>
      <c r="J444" s="4"/>
      <c r="K444" s="4"/>
      <c r="L444" s="4"/>
      <c r="M444" s="5">
        <f t="shared" si="50"/>
        <v>0</v>
      </c>
      <c r="N444" s="5">
        <f t="shared" si="51"/>
        <v>0</v>
      </c>
      <c r="O444" s="5">
        <f t="shared" si="52"/>
        <v>0</v>
      </c>
      <c r="P444" s="3">
        <f t="shared" si="53"/>
        <v>0</v>
      </c>
      <c r="Q444" s="6">
        <f t="shared" si="54"/>
        <v>0</v>
      </c>
    </row>
    <row r="445" spans="1:17" x14ac:dyDescent="0.4">
      <c r="A445" s="2">
        <v>46041</v>
      </c>
      <c r="B445" s="1" t="s">
        <v>62</v>
      </c>
      <c r="C445" s="1" t="s">
        <v>65</v>
      </c>
      <c r="D445" s="1" t="s">
        <v>67</v>
      </c>
      <c r="E445" s="7">
        <v>0</v>
      </c>
      <c r="F445" s="4">
        <v>0</v>
      </c>
      <c r="G445" s="4"/>
      <c r="H445" s="4"/>
      <c r="I445" s="4"/>
      <c r="J445" s="4"/>
      <c r="K445" s="4"/>
      <c r="L445" s="4"/>
      <c r="M445" s="5">
        <f t="shared" si="50"/>
        <v>0</v>
      </c>
      <c r="N445" s="5">
        <f t="shared" si="51"/>
        <v>0</v>
      </c>
      <c r="O445" s="5">
        <f t="shared" si="52"/>
        <v>0</v>
      </c>
      <c r="P445" s="3">
        <f t="shared" si="53"/>
        <v>0</v>
      </c>
      <c r="Q445" s="6">
        <f t="shared" si="54"/>
        <v>0</v>
      </c>
    </row>
    <row r="446" spans="1:17" x14ac:dyDescent="0.4">
      <c r="A446" s="2">
        <v>46041</v>
      </c>
      <c r="B446" s="1" t="s">
        <v>42</v>
      </c>
      <c r="C446" s="1" t="s">
        <v>38</v>
      </c>
      <c r="D446" s="1" t="s">
        <v>42</v>
      </c>
      <c r="E446" s="7">
        <v>0</v>
      </c>
      <c r="F446" s="4">
        <v>0</v>
      </c>
      <c r="G446" s="4"/>
      <c r="H446" s="4"/>
      <c r="I446" s="4"/>
      <c r="J446" s="4"/>
      <c r="K446" s="4"/>
      <c r="L446" s="4"/>
      <c r="M446" s="5">
        <f t="shared" si="50"/>
        <v>0</v>
      </c>
      <c r="N446" s="5">
        <f t="shared" si="51"/>
        <v>0</v>
      </c>
      <c r="O446" s="5">
        <f t="shared" si="52"/>
        <v>0</v>
      </c>
      <c r="P446" s="3">
        <f t="shared" si="53"/>
        <v>0</v>
      </c>
      <c r="Q446" s="6">
        <f t="shared" si="54"/>
        <v>0</v>
      </c>
    </row>
    <row r="447" spans="1:17" x14ac:dyDescent="0.4">
      <c r="A447" s="2">
        <v>46041</v>
      </c>
      <c r="B447" s="1" t="s">
        <v>7</v>
      </c>
      <c r="C447" s="1" t="s">
        <v>8</v>
      </c>
      <c r="D447" s="1" t="s">
        <v>42</v>
      </c>
      <c r="E447" s="7">
        <v>0</v>
      </c>
      <c r="F447" s="4">
        <v>0</v>
      </c>
      <c r="G447" s="3">
        <v>12</v>
      </c>
      <c r="H447" s="3"/>
      <c r="I447" s="3"/>
      <c r="J447" s="3"/>
      <c r="K447" s="3"/>
      <c r="L447" s="3"/>
      <c r="M447" s="5">
        <f t="shared" si="50"/>
        <v>0</v>
      </c>
      <c r="N447" s="5">
        <f t="shared" si="51"/>
        <v>0</v>
      </c>
      <c r="O447" s="5">
        <f t="shared" si="52"/>
        <v>0</v>
      </c>
      <c r="P447" s="3">
        <f t="shared" si="53"/>
        <v>0</v>
      </c>
      <c r="Q447" s="6">
        <f t="shared" si="54"/>
        <v>0</v>
      </c>
    </row>
    <row r="448" spans="1:17" x14ac:dyDescent="0.4">
      <c r="A448" s="2">
        <v>46042</v>
      </c>
      <c r="B448" s="1" t="s">
        <v>13</v>
      </c>
      <c r="C448" s="1" t="s">
        <v>14</v>
      </c>
      <c r="D448" s="1" t="s">
        <v>31</v>
      </c>
      <c r="E448" s="7">
        <v>1005107.832009082</v>
      </c>
      <c r="F448" s="4">
        <v>3</v>
      </c>
      <c r="G448" s="4">
        <v>7</v>
      </c>
      <c r="H448" s="4">
        <v>4</v>
      </c>
      <c r="I448" s="4">
        <v>2</v>
      </c>
      <c r="J448" s="4">
        <v>60000</v>
      </c>
      <c r="K448" s="4">
        <v>1</v>
      </c>
      <c r="L448" s="4">
        <v>20000</v>
      </c>
      <c r="M448" s="5">
        <f t="shared" si="50"/>
        <v>0.5714285714285714</v>
      </c>
      <c r="N448" s="5">
        <f t="shared" si="51"/>
        <v>2.3333333333333335</v>
      </c>
      <c r="O448" s="5">
        <f t="shared" si="52"/>
        <v>0.5</v>
      </c>
      <c r="P448" s="3">
        <f t="shared" si="53"/>
        <v>143586.83314415457</v>
      </c>
      <c r="Q448" s="6">
        <f t="shared" si="54"/>
        <v>0.71634105025409278</v>
      </c>
    </row>
    <row r="449" spans="1:17" x14ac:dyDescent="0.4">
      <c r="A449" s="2">
        <v>46042</v>
      </c>
      <c r="B449" s="1" t="s">
        <v>11</v>
      </c>
      <c r="C449" s="1" t="s">
        <v>12</v>
      </c>
      <c r="D449" s="1" t="s">
        <v>32</v>
      </c>
      <c r="E449" s="7">
        <v>248120.30075187972</v>
      </c>
      <c r="F449" s="4">
        <v>6</v>
      </c>
      <c r="G449" s="4"/>
      <c r="H449" s="4"/>
      <c r="I449" s="4"/>
      <c r="J449" s="4"/>
      <c r="K449" s="4"/>
      <c r="L449" s="4"/>
      <c r="M449" s="5">
        <f t="shared" si="50"/>
        <v>0</v>
      </c>
      <c r="N449" s="5">
        <f t="shared" si="51"/>
        <v>0</v>
      </c>
      <c r="O449" s="5">
        <f t="shared" si="52"/>
        <v>0</v>
      </c>
      <c r="P449" s="3">
        <f t="shared" si="53"/>
        <v>0</v>
      </c>
      <c r="Q449" s="6">
        <f t="shared" si="54"/>
        <v>0</v>
      </c>
    </row>
    <row r="450" spans="1:17" x14ac:dyDescent="0.4">
      <c r="A450" s="2">
        <v>46042</v>
      </c>
      <c r="B450" s="1" t="s">
        <v>17</v>
      </c>
      <c r="C450" s="1" t="s">
        <v>18</v>
      </c>
      <c r="D450" s="1" t="s">
        <v>59</v>
      </c>
      <c r="E450" s="7">
        <v>177419.35483870967</v>
      </c>
      <c r="F450" s="4">
        <v>4</v>
      </c>
      <c r="G450" s="4">
        <v>2</v>
      </c>
      <c r="H450" s="4">
        <v>1</v>
      </c>
      <c r="I450" s="4"/>
      <c r="J450" s="4"/>
      <c r="K450" s="4"/>
      <c r="L450" s="4"/>
      <c r="M450" s="5">
        <f t="shared" si="50"/>
        <v>0.5</v>
      </c>
      <c r="N450" s="5">
        <f t="shared" si="51"/>
        <v>0.5</v>
      </c>
      <c r="O450" s="5">
        <f t="shared" si="52"/>
        <v>0</v>
      </c>
      <c r="P450" s="3">
        <f t="shared" si="53"/>
        <v>88709.677419354834</v>
      </c>
      <c r="Q450" s="6">
        <f t="shared" si="54"/>
        <v>0</v>
      </c>
    </row>
    <row r="451" spans="1:17" x14ac:dyDescent="0.4">
      <c r="A451" s="2">
        <v>46042</v>
      </c>
      <c r="B451" s="1" t="s">
        <v>25</v>
      </c>
      <c r="C451" s="1" t="s">
        <v>35</v>
      </c>
      <c r="D451" s="1" t="s">
        <v>32</v>
      </c>
      <c r="E451" s="7">
        <v>0</v>
      </c>
      <c r="F451" s="4">
        <v>4</v>
      </c>
      <c r="G451" s="4"/>
      <c r="H451" s="4"/>
      <c r="I451" s="4"/>
      <c r="J451" s="4"/>
      <c r="K451" s="4"/>
      <c r="L451" s="4"/>
      <c r="M451" s="5">
        <f t="shared" si="50"/>
        <v>0</v>
      </c>
      <c r="N451" s="5">
        <f t="shared" si="51"/>
        <v>0</v>
      </c>
      <c r="O451" s="5">
        <f t="shared" si="52"/>
        <v>0</v>
      </c>
      <c r="P451" s="3">
        <f t="shared" si="53"/>
        <v>0</v>
      </c>
      <c r="Q451" s="6">
        <f t="shared" si="54"/>
        <v>0</v>
      </c>
    </row>
    <row r="452" spans="1:17" x14ac:dyDescent="0.4">
      <c r="A452" s="2">
        <v>46042</v>
      </c>
      <c r="B452" s="1" t="s">
        <v>24</v>
      </c>
      <c r="C452" s="1" t="s">
        <v>6</v>
      </c>
      <c r="D452" s="1" t="s">
        <v>69</v>
      </c>
      <c r="E452" s="7">
        <v>163606</v>
      </c>
      <c r="F452" s="4">
        <v>4</v>
      </c>
      <c r="G452" s="4">
        <v>1</v>
      </c>
      <c r="H452" s="4">
        <v>1</v>
      </c>
      <c r="I452" s="4" t="s">
        <v>68</v>
      </c>
      <c r="J452" s="4" t="s">
        <v>68</v>
      </c>
      <c r="K452" s="4" t="s">
        <v>68</v>
      </c>
      <c r="L452" s="4" t="s">
        <v>68</v>
      </c>
      <c r="M452" s="5">
        <f t="shared" si="50"/>
        <v>1</v>
      </c>
      <c r="N452" s="5">
        <f t="shared" si="51"/>
        <v>0.25</v>
      </c>
      <c r="O452" s="5">
        <f t="shared" si="52"/>
        <v>0</v>
      </c>
      <c r="P452" s="3">
        <f t="shared" si="53"/>
        <v>163606</v>
      </c>
      <c r="Q452" s="6">
        <f t="shared" si="54"/>
        <v>0</v>
      </c>
    </row>
    <row r="453" spans="1:17" x14ac:dyDescent="0.4">
      <c r="A453" s="2">
        <v>46042</v>
      </c>
      <c r="B453" s="1" t="s">
        <v>9</v>
      </c>
      <c r="C453" s="1" t="s">
        <v>6</v>
      </c>
      <c r="D453" s="1" t="s">
        <v>70</v>
      </c>
      <c r="E453" s="7">
        <v>368114</v>
      </c>
      <c r="F453" s="4">
        <v>9</v>
      </c>
      <c r="G453" s="4">
        <v>4</v>
      </c>
      <c r="H453" s="4">
        <v>3</v>
      </c>
      <c r="I453" s="4">
        <v>2</v>
      </c>
      <c r="J453" s="4">
        <v>50000</v>
      </c>
      <c r="K453" s="4" t="s">
        <v>68</v>
      </c>
      <c r="L453" s="4" t="s">
        <v>68</v>
      </c>
      <c r="M453" s="5">
        <f t="shared" si="50"/>
        <v>0.75</v>
      </c>
      <c r="N453" s="5">
        <f t="shared" si="51"/>
        <v>0.44444444444444442</v>
      </c>
      <c r="O453" s="5">
        <f t="shared" si="52"/>
        <v>0.66666666666666663</v>
      </c>
      <c r="P453" s="3">
        <f t="shared" si="53"/>
        <v>92028.5</v>
      </c>
      <c r="Q453" s="6">
        <f t="shared" si="54"/>
        <v>1.6299298586850812</v>
      </c>
    </row>
    <row r="454" spans="1:17" x14ac:dyDescent="0.4">
      <c r="A454" s="2">
        <v>46042</v>
      </c>
      <c r="B454" s="1" t="s">
        <v>15</v>
      </c>
      <c r="C454" s="1" t="s">
        <v>6</v>
      </c>
      <c r="D454" s="1" t="s">
        <v>44</v>
      </c>
      <c r="E454" s="7">
        <v>368114</v>
      </c>
      <c r="F454" s="4">
        <v>9</v>
      </c>
      <c r="G454" s="4">
        <v>1</v>
      </c>
      <c r="H454" s="4">
        <v>1</v>
      </c>
      <c r="I454" s="4">
        <v>1</v>
      </c>
      <c r="J454" s="4">
        <v>20000</v>
      </c>
      <c r="K454" s="4" t="s">
        <v>68</v>
      </c>
      <c r="L454" s="4" t="s">
        <v>68</v>
      </c>
      <c r="M454" s="5">
        <f t="shared" si="50"/>
        <v>1</v>
      </c>
      <c r="N454" s="5">
        <f t="shared" si="51"/>
        <v>0.1111111111111111</v>
      </c>
      <c r="O454" s="5">
        <f t="shared" si="52"/>
        <v>1</v>
      </c>
      <c r="P454" s="3">
        <f t="shared" si="53"/>
        <v>368114</v>
      </c>
      <c r="Q454" s="6">
        <f t="shared" si="54"/>
        <v>0.65197194347403253</v>
      </c>
    </row>
    <row r="455" spans="1:17" x14ac:dyDescent="0.4">
      <c r="A455" s="2">
        <v>46042</v>
      </c>
      <c r="B455" s="1" t="s">
        <v>10</v>
      </c>
      <c r="C455" s="1" t="s">
        <v>6</v>
      </c>
      <c r="D455" s="1" t="s">
        <v>33</v>
      </c>
      <c r="E455" s="7">
        <v>245409</v>
      </c>
      <c r="F455" s="4">
        <v>6</v>
      </c>
      <c r="G455" s="4">
        <v>1</v>
      </c>
      <c r="H455" s="4">
        <v>1</v>
      </c>
      <c r="I455" s="4" t="s">
        <v>68</v>
      </c>
      <c r="J455" s="4" t="s">
        <v>68</v>
      </c>
      <c r="K455" s="4" t="s">
        <v>68</v>
      </c>
      <c r="L455" s="4" t="s">
        <v>68</v>
      </c>
      <c r="M455" s="5">
        <f t="shared" si="50"/>
        <v>1</v>
      </c>
      <c r="N455" s="5">
        <f t="shared" si="51"/>
        <v>0.16666666666666666</v>
      </c>
      <c r="O455" s="5">
        <f t="shared" si="52"/>
        <v>0</v>
      </c>
      <c r="P455" s="3">
        <f t="shared" si="53"/>
        <v>245409</v>
      </c>
      <c r="Q455" s="6">
        <f t="shared" si="54"/>
        <v>0</v>
      </c>
    </row>
    <row r="456" spans="1:17" x14ac:dyDescent="0.4">
      <c r="A456" s="2">
        <v>46042</v>
      </c>
      <c r="B456" s="1" t="s">
        <v>74</v>
      </c>
      <c r="C456" s="1" t="s">
        <v>6</v>
      </c>
      <c r="D456" s="1" t="s">
        <v>71</v>
      </c>
      <c r="E456" s="7">
        <v>163606</v>
      </c>
      <c r="F456" s="4">
        <v>4</v>
      </c>
      <c r="G456" s="4">
        <v>3</v>
      </c>
      <c r="H456" s="4">
        <v>2</v>
      </c>
      <c r="I456" s="4">
        <v>1</v>
      </c>
      <c r="J456" s="4">
        <v>30000</v>
      </c>
      <c r="K456" s="4" t="s">
        <v>68</v>
      </c>
      <c r="L456" s="4" t="s">
        <v>68</v>
      </c>
      <c r="M456" s="5">
        <f t="shared" si="50"/>
        <v>0.66666666666666663</v>
      </c>
      <c r="N456" s="5">
        <f t="shared" si="51"/>
        <v>0.75</v>
      </c>
      <c r="O456" s="5">
        <f t="shared" si="52"/>
        <v>0.5</v>
      </c>
      <c r="P456" s="3">
        <f t="shared" si="53"/>
        <v>54535.333333333336</v>
      </c>
      <c r="Q456" s="6">
        <f t="shared" si="54"/>
        <v>2.2004082979841817</v>
      </c>
    </row>
    <row r="457" spans="1:17" x14ac:dyDescent="0.4">
      <c r="A457" s="2">
        <v>46042</v>
      </c>
      <c r="B457" s="1" t="s">
        <v>75</v>
      </c>
      <c r="C457" s="1" t="s">
        <v>6</v>
      </c>
      <c r="D457" s="1" t="s">
        <v>72</v>
      </c>
      <c r="E457" s="7">
        <v>163606</v>
      </c>
      <c r="F457" s="4">
        <v>4</v>
      </c>
      <c r="G457" s="4" t="s">
        <v>68</v>
      </c>
      <c r="H457" s="4" t="s">
        <v>68</v>
      </c>
      <c r="I457" s="4" t="s">
        <v>68</v>
      </c>
      <c r="J457" s="4" t="s">
        <v>68</v>
      </c>
      <c r="K457" s="4" t="s">
        <v>68</v>
      </c>
      <c r="L457" s="4" t="s">
        <v>68</v>
      </c>
      <c r="M457" s="5">
        <f t="shared" si="50"/>
        <v>0</v>
      </c>
      <c r="N457" s="5">
        <f t="shared" si="51"/>
        <v>0</v>
      </c>
      <c r="O457" s="5">
        <f t="shared" si="52"/>
        <v>0</v>
      </c>
      <c r="P457" s="3">
        <f t="shared" si="53"/>
        <v>0</v>
      </c>
      <c r="Q457" s="6">
        <f t="shared" si="54"/>
        <v>0</v>
      </c>
    </row>
    <row r="458" spans="1:17" x14ac:dyDescent="0.4">
      <c r="A458" s="2">
        <v>46042</v>
      </c>
      <c r="B458" s="1" t="s">
        <v>5</v>
      </c>
      <c r="C458" s="1" t="s">
        <v>6</v>
      </c>
      <c r="D458" s="1" t="s">
        <v>52</v>
      </c>
      <c r="E458" s="7">
        <v>245409</v>
      </c>
      <c r="F458" s="4">
        <v>6</v>
      </c>
      <c r="G458" s="4">
        <v>4</v>
      </c>
      <c r="H458" s="4">
        <v>4</v>
      </c>
      <c r="I458" s="4">
        <v>2</v>
      </c>
      <c r="J458" s="4">
        <v>45000</v>
      </c>
      <c r="K458" s="4">
        <v>1</v>
      </c>
      <c r="L458" s="4">
        <v>20000</v>
      </c>
      <c r="M458" s="5">
        <f t="shared" si="50"/>
        <v>1</v>
      </c>
      <c r="N458" s="5">
        <f t="shared" si="51"/>
        <v>0.66666666666666663</v>
      </c>
      <c r="O458" s="5">
        <f t="shared" si="52"/>
        <v>0.5</v>
      </c>
      <c r="P458" s="3">
        <f t="shared" si="53"/>
        <v>61352.25</v>
      </c>
      <c r="Q458" s="6">
        <f t="shared" si="54"/>
        <v>2.2004082979841817</v>
      </c>
    </row>
    <row r="459" spans="1:17" x14ac:dyDescent="0.4">
      <c r="A459" s="2">
        <v>46042</v>
      </c>
      <c r="B459" s="1" t="s">
        <v>26</v>
      </c>
      <c r="C459" s="1" t="s">
        <v>36</v>
      </c>
      <c r="D459" s="1" t="s">
        <v>52</v>
      </c>
      <c r="E459" s="7">
        <v>0</v>
      </c>
      <c r="F459" s="4">
        <v>2</v>
      </c>
      <c r="G459" s="4"/>
      <c r="H459" s="4"/>
      <c r="I459" s="4"/>
      <c r="J459" s="4"/>
      <c r="K459" s="4"/>
      <c r="L459" s="4"/>
      <c r="M459" s="5">
        <f t="shared" si="50"/>
        <v>0</v>
      </c>
      <c r="N459" s="5">
        <f t="shared" si="51"/>
        <v>0</v>
      </c>
      <c r="O459" s="5">
        <f t="shared" si="52"/>
        <v>0</v>
      </c>
      <c r="P459" s="3">
        <f t="shared" si="53"/>
        <v>0</v>
      </c>
      <c r="Q459" s="6">
        <f t="shared" si="54"/>
        <v>0</v>
      </c>
    </row>
    <row r="460" spans="1:17" x14ac:dyDescent="0.4">
      <c r="A460" s="2">
        <v>46042</v>
      </c>
      <c r="B460" s="1" t="s">
        <v>51</v>
      </c>
      <c r="C460" s="1" t="s">
        <v>50</v>
      </c>
      <c r="D460" s="1" t="s">
        <v>54</v>
      </c>
      <c r="E460" s="7">
        <v>428571.42857142858</v>
      </c>
      <c r="F460" s="4">
        <v>3</v>
      </c>
      <c r="G460" s="4"/>
      <c r="H460" s="4"/>
      <c r="I460" s="4"/>
      <c r="J460" s="4"/>
      <c r="K460" s="4"/>
      <c r="L460" s="4"/>
      <c r="M460" s="5">
        <f t="shared" si="50"/>
        <v>0</v>
      </c>
      <c r="N460" s="5">
        <f t="shared" si="51"/>
        <v>0</v>
      </c>
      <c r="O460" s="5">
        <f t="shared" si="52"/>
        <v>0</v>
      </c>
      <c r="P460" s="3">
        <f t="shared" si="53"/>
        <v>0</v>
      </c>
      <c r="Q460" s="6">
        <f t="shared" si="54"/>
        <v>0</v>
      </c>
    </row>
    <row r="461" spans="1:17" x14ac:dyDescent="0.4">
      <c r="A461" s="2">
        <v>46042</v>
      </c>
      <c r="B461" s="1" t="s">
        <v>56</v>
      </c>
      <c r="C461" s="1" t="s">
        <v>57</v>
      </c>
      <c r="D461" s="1" t="s">
        <v>59</v>
      </c>
      <c r="E461" s="7">
        <v>0</v>
      </c>
      <c r="F461" s="4">
        <v>0</v>
      </c>
      <c r="G461" s="4">
        <v>2</v>
      </c>
      <c r="H461" s="4"/>
      <c r="I461" s="4"/>
      <c r="J461" s="4"/>
      <c r="K461" s="4"/>
      <c r="L461" s="4"/>
      <c r="M461" s="5">
        <f t="shared" si="50"/>
        <v>0</v>
      </c>
      <c r="N461" s="5">
        <f t="shared" si="51"/>
        <v>0</v>
      </c>
      <c r="O461" s="5">
        <f t="shared" si="52"/>
        <v>0</v>
      </c>
      <c r="P461" s="3">
        <f t="shared" si="53"/>
        <v>0</v>
      </c>
      <c r="Q461" s="6">
        <f t="shared" si="54"/>
        <v>0</v>
      </c>
    </row>
    <row r="462" spans="1:17" x14ac:dyDescent="0.4">
      <c r="A462" s="2">
        <v>46042</v>
      </c>
      <c r="B462" s="1" t="s">
        <v>16</v>
      </c>
      <c r="C462" s="1" t="s">
        <v>58</v>
      </c>
      <c r="D462" s="1" t="s">
        <v>53</v>
      </c>
      <c r="E462" s="7">
        <v>0</v>
      </c>
      <c r="F462" s="4">
        <v>0</v>
      </c>
      <c r="G462" s="4">
        <v>3</v>
      </c>
      <c r="H462" s="4">
        <v>1</v>
      </c>
      <c r="I462" s="4"/>
      <c r="J462" s="4"/>
      <c r="K462" s="4"/>
      <c r="L462" s="4"/>
      <c r="M462" s="5">
        <f t="shared" si="50"/>
        <v>0.33333333333333331</v>
      </c>
      <c r="N462" s="5">
        <f t="shared" si="51"/>
        <v>0</v>
      </c>
      <c r="O462" s="5">
        <f t="shared" si="52"/>
        <v>0</v>
      </c>
      <c r="P462" s="3">
        <f t="shared" si="53"/>
        <v>0</v>
      </c>
      <c r="Q462" s="6">
        <f t="shared" si="54"/>
        <v>0</v>
      </c>
    </row>
    <row r="463" spans="1:17" x14ac:dyDescent="0.4">
      <c r="A463" s="2">
        <v>46042</v>
      </c>
      <c r="B463" s="1" t="s">
        <v>19</v>
      </c>
      <c r="C463" s="1" t="s">
        <v>20</v>
      </c>
      <c r="D463" s="1" t="s">
        <v>34</v>
      </c>
      <c r="E463" s="7">
        <v>148226.95035460993</v>
      </c>
      <c r="F463" s="4">
        <v>4</v>
      </c>
      <c r="G463" s="4"/>
      <c r="H463" s="4"/>
      <c r="I463" s="4"/>
      <c r="J463" s="4"/>
      <c r="K463" s="4"/>
      <c r="L463" s="4"/>
      <c r="M463" s="5">
        <f t="shared" si="50"/>
        <v>0</v>
      </c>
      <c r="N463" s="5">
        <f t="shared" si="51"/>
        <v>0</v>
      </c>
      <c r="O463" s="5">
        <f t="shared" si="52"/>
        <v>0</v>
      </c>
      <c r="P463" s="3">
        <f t="shared" si="53"/>
        <v>0</v>
      </c>
      <c r="Q463" s="6">
        <f t="shared" si="54"/>
        <v>0</v>
      </c>
    </row>
    <row r="464" spans="1:17" x14ac:dyDescent="0.4">
      <c r="A464" s="2">
        <v>46042</v>
      </c>
      <c r="B464" s="1" t="s">
        <v>23</v>
      </c>
      <c r="C464" s="1" t="s">
        <v>37</v>
      </c>
      <c r="D464" s="1" t="s">
        <v>32</v>
      </c>
      <c r="E464" s="7">
        <v>0</v>
      </c>
      <c r="F464" s="4">
        <v>6</v>
      </c>
      <c r="G464" s="4"/>
      <c r="H464" s="4"/>
      <c r="I464" s="4"/>
      <c r="J464" s="4"/>
      <c r="K464" s="4"/>
      <c r="L464" s="4"/>
      <c r="M464" s="5">
        <f t="shared" si="50"/>
        <v>0</v>
      </c>
      <c r="N464" s="5">
        <f t="shared" si="51"/>
        <v>0</v>
      </c>
      <c r="O464" s="5">
        <f t="shared" si="52"/>
        <v>0</v>
      </c>
      <c r="P464" s="3">
        <f t="shared" si="53"/>
        <v>0</v>
      </c>
      <c r="Q464" s="6">
        <f t="shared" si="54"/>
        <v>0</v>
      </c>
    </row>
    <row r="465" spans="1:17" x14ac:dyDescent="0.4">
      <c r="A465" s="2">
        <v>46042</v>
      </c>
      <c r="B465" s="1" t="s">
        <v>21</v>
      </c>
      <c r="C465" s="1" t="s">
        <v>22</v>
      </c>
      <c r="D465" s="1" t="s">
        <v>32</v>
      </c>
      <c r="E465" s="7">
        <v>283870.96774193551</v>
      </c>
      <c r="F465" s="4">
        <v>9</v>
      </c>
      <c r="G465" s="4">
        <v>3</v>
      </c>
      <c r="H465" s="4">
        <v>2</v>
      </c>
      <c r="I465" s="4">
        <v>1</v>
      </c>
      <c r="J465" s="4">
        <v>20000</v>
      </c>
      <c r="K465" s="4">
        <v>1</v>
      </c>
      <c r="L465" s="4">
        <v>100000</v>
      </c>
      <c r="M465" s="5">
        <f t="shared" si="50"/>
        <v>0.66666666666666663</v>
      </c>
      <c r="N465" s="5">
        <f t="shared" si="51"/>
        <v>0.33333333333333331</v>
      </c>
      <c r="O465" s="5">
        <f t="shared" si="52"/>
        <v>0.5</v>
      </c>
      <c r="P465" s="3">
        <f t="shared" si="53"/>
        <v>94623.655913978509</v>
      </c>
      <c r="Q465" s="6">
        <f t="shared" si="54"/>
        <v>0.84545454545454535</v>
      </c>
    </row>
    <row r="466" spans="1:17" x14ac:dyDescent="0.4">
      <c r="A466" s="2">
        <v>46042</v>
      </c>
      <c r="B466" s="1" t="s">
        <v>61</v>
      </c>
      <c r="C466" s="1" t="s">
        <v>64</v>
      </c>
      <c r="D466" s="1" t="s">
        <v>66</v>
      </c>
      <c r="E466" s="7">
        <v>0</v>
      </c>
      <c r="F466" s="4">
        <v>0</v>
      </c>
      <c r="G466" s="4"/>
      <c r="H466" s="4"/>
      <c r="I466" s="4"/>
      <c r="J466" s="4"/>
      <c r="K466" s="4"/>
      <c r="L466" s="4"/>
      <c r="M466" s="5">
        <f t="shared" si="50"/>
        <v>0</v>
      </c>
      <c r="N466" s="5">
        <f t="shared" si="51"/>
        <v>0</v>
      </c>
      <c r="O466" s="5">
        <f t="shared" si="52"/>
        <v>0</v>
      </c>
      <c r="P466" s="3">
        <f t="shared" si="53"/>
        <v>0</v>
      </c>
      <c r="Q466" s="6">
        <f t="shared" si="54"/>
        <v>0</v>
      </c>
    </row>
    <row r="467" spans="1:17" x14ac:dyDescent="0.4">
      <c r="A467" s="2">
        <v>46042</v>
      </c>
      <c r="B467" s="1" t="s">
        <v>62</v>
      </c>
      <c r="C467" s="1" t="s">
        <v>65</v>
      </c>
      <c r="D467" s="1" t="s">
        <v>67</v>
      </c>
      <c r="E467" s="7">
        <v>0</v>
      </c>
      <c r="F467" s="4">
        <v>0</v>
      </c>
      <c r="G467" s="4">
        <v>1</v>
      </c>
      <c r="H467" s="4"/>
      <c r="I467" s="4">
        <v>1</v>
      </c>
      <c r="J467" s="4">
        <v>20000</v>
      </c>
      <c r="K467" s="4"/>
      <c r="L467" s="4"/>
      <c r="M467" s="5">
        <f t="shared" si="50"/>
        <v>0</v>
      </c>
      <c r="N467" s="5">
        <f t="shared" si="51"/>
        <v>0</v>
      </c>
      <c r="O467" s="5">
        <f t="shared" si="52"/>
        <v>0</v>
      </c>
      <c r="P467" s="3">
        <f t="shared" si="53"/>
        <v>0</v>
      </c>
      <c r="Q467" s="6">
        <f t="shared" si="54"/>
        <v>0</v>
      </c>
    </row>
    <row r="468" spans="1:17" x14ac:dyDescent="0.4">
      <c r="A468" s="2">
        <v>46042</v>
      </c>
      <c r="B468" s="1" t="s">
        <v>42</v>
      </c>
      <c r="C468" s="1" t="s">
        <v>38</v>
      </c>
      <c r="D468" s="1" t="s">
        <v>42</v>
      </c>
      <c r="E468" s="7">
        <v>0</v>
      </c>
      <c r="F468" s="4">
        <v>0</v>
      </c>
      <c r="G468" s="4"/>
      <c r="H468" s="4"/>
      <c r="I468" s="4"/>
      <c r="J468" s="4"/>
      <c r="K468" s="4"/>
      <c r="L468" s="4"/>
      <c r="M468" s="5">
        <f t="shared" si="50"/>
        <v>0</v>
      </c>
      <c r="N468" s="5">
        <f t="shared" si="51"/>
        <v>0</v>
      </c>
      <c r="O468" s="5">
        <f t="shared" si="52"/>
        <v>0</v>
      </c>
      <c r="P468" s="3">
        <f t="shared" si="53"/>
        <v>0</v>
      </c>
      <c r="Q468" s="6">
        <f t="shared" si="54"/>
        <v>0</v>
      </c>
    </row>
    <row r="469" spans="1:17" x14ac:dyDescent="0.4">
      <c r="A469" s="2">
        <v>46042</v>
      </c>
      <c r="B469" s="1" t="s">
        <v>7</v>
      </c>
      <c r="C469" s="1" t="s">
        <v>8</v>
      </c>
      <c r="D469" s="1" t="s">
        <v>42</v>
      </c>
      <c r="E469" s="7">
        <v>0</v>
      </c>
      <c r="F469" s="4">
        <v>0</v>
      </c>
      <c r="G469" s="3">
        <v>3</v>
      </c>
      <c r="H469" s="3"/>
      <c r="I469" s="3"/>
      <c r="J469" s="3"/>
      <c r="K469" s="3"/>
      <c r="L469" s="3"/>
      <c r="M469" s="5">
        <f t="shared" si="50"/>
        <v>0</v>
      </c>
      <c r="N469" s="5">
        <f t="shared" si="51"/>
        <v>0</v>
      </c>
      <c r="O469" s="5">
        <f t="shared" si="52"/>
        <v>0</v>
      </c>
      <c r="P469" s="3">
        <f t="shared" si="53"/>
        <v>0</v>
      </c>
      <c r="Q469" s="6">
        <f t="shared" si="54"/>
        <v>0</v>
      </c>
    </row>
    <row r="470" spans="1:17" x14ac:dyDescent="0.4">
      <c r="A470" s="2">
        <v>46043</v>
      </c>
      <c r="B470" s="1" t="s">
        <v>13</v>
      </c>
      <c r="C470" s="1" t="s">
        <v>14</v>
      </c>
      <c r="D470" s="1" t="s">
        <v>31</v>
      </c>
      <c r="E470" s="7">
        <v>1005107.832009082</v>
      </c>
      <c r="F470" s="4">
        <v>3</v>
      </c>
      <c r="G470" s="4">
        <v>14</v>
      </c>
      <c r="H470" s="4">
        <v>8</v>
      </c>
      <c r="I470" s="4">
        <v>7</v>
      </c>
      <c r="J470" s="4">
        <v>160000</v>
      </c>
      <c r="K470" s="4"/>
      <c r="L470" s="4"/>
      <c r="M470" s="5">
        <f t="shared" si="50"/>
        <v>0.5714285714285714</v>
      </c>
      <c r="N470" s="5">
        <f t="shared" si="51"/>
        <v>4.666666666666667</v>
      </c>
      <c r="O470" s="5">
        <f t="shared" si="52"/>
        <v>0.875</v>
      </c>
      <c r="P470" s="3">
        <f t="shared" si="53"/>
        <v>71793.416572077287</v>
      </c>
      <c r="Q470" s="6">
        <f t="shared" si="54"/>
        <v>1.9102428006775807</v>
      </c>
    </row>
    <row r="471" spans="1:17" x14ac:dyDescent="0.4">
      <c r="A471" s="2">
        <v>46043</v>
      </c>
      <c r="B471" s="1" t="s">
        <v>11</v>
      </c>
      <c r="C471" s="1" t="s">
        <v>12</v>
      </c>
      <c r="D471" s="1" t="s">
        <v>32</v>
      </c>
      <c r="E471" s="7">
        <v>165413.53383458647</v>
      </c>
      <c r="F471" s="4">
        <v>4</v>
      </c>
      <c r="G471" s="4">
        <v>6</v>
      </c>
      <c r="H471" s="4">
        <v>3</v>
      </c>
      <c r="I471" s="4">
        <v>4</v>
      </c>
      <c r="J471" s="4">
        <v>120000</v>
      </c>
      <c r="K471" s="4"/>
      <c r="L471" s="4"/>
      <c r="M471" s="5">
        <f t="shared" si="50"/>
        <v>0.5</v>
      </c>
      <c r="N471" s="5">
        <f t="shared" si="51"/>
        <v>1.5</v>
      </c>
      <c r="O471" s="5">
        <f t="shared" si="52"/>
        <v>1.3333333333333333</v>
      </c>
      <c r="P471" s="3">
        <f t="shared" si="53"/>
        <v>27568.922305764412</v>
      </c>
      <c r="Q471" s="6">
        <f t="shared" si="54"/>
        <v>8.7054545454545451</v>
      </c>
    </row>
    <row r="472" spans="1:17" x14ac:dyDescent="0.4">
      <c r="A472" s="2">
        <v>46043</v>
      </c>
      <c r="B472" s="1" t="s">
        <v>17</v>
      </c>
      <c r="C472" s="1" t="s">
        <v>18</v>
      </c>
      <c r="D472" s="1" t="s">
        <v>59</v>
      </c>
      <c r="E472" s="7">
        <v>177419.35483870967</v>
      </c>
      <c r="F472" s="4">
        <v>4</v>
      </c>
      <c r="G472" s="4">
        <v>3</v>
      </c>
      <c r="H472" s="4"/>
      <c r="I472" s="4"/>
      <c r="J472" s="4"/>
      <c r="K472" s="4"/>
      <c r="L472" s="4"/>
      <c r="M472" s="5">
        <f t="shared" si="50"/>
        <v>0</v>
      </c>
      <c r="N472" s="5">
        <f t="shared" si="51"/>
        <v>0.75</v>
      </c>
      <c r="O472" s="5">
        <f t="shared" si="52"/>
        <v>0</v>
      </c>
      <c r="P472" s="3">
        <f t="shared" si="53"/>
        <v>59139.784946236556</v>
      </c>
      <c r="Q472" s="6">
        <f t="shared" si="54"/>
        <v>0</v>
      </c>
    </row>
    <row r="473" spans="1:17" x14ac:dyDescent="0.4">
      <c r="A473" s="2">
        <v>46043</v>
      </c>
      <c r="B473" s="1" t="s">
        <v>25</v>
      </c>
      <c r="C473" s="1" t="s">
        <v>35</v>
      </c>
      <c r="D473" s="1" t="s">
        <v>32</v>
      </c>
      <c r="E473" s="7">
        <v>0</v>
      </c>
      <c r="F473" s="4">
        <v>4</v>
      </c>
      <c r="G473" s="4">
        <v>1</v>
      </c>
      <c r="H473" s="4">
        <v>1</v>
      </c>
      <c r="I473" s="4"/>
      <c r="J473" s="4"/>
      <c r="K473" s="4"/>
      <c r="L473" s="4"/>
      <c r="M473" s="5">
        <f t="shared" si="50"/>
        <v>1</v>
      </c>
      <c r="N473" s="5">
        <f t="shared" si="51"/>
        <v>0.25</v>
      </c>
      <c r="O473" s="5">
        <f t="shared" si="52"/>
        <v>0</v>
      </c>
      <c r="P473" s="3">
        <f t="shared" si="53"/>
        <v>0</v>
      </c>
      <c r="Q473" s="6">
        <f t="shared" si="54"/>
        <v>0</v>
      </c>
    </row>
    <row r="474" spans="1:17" x14ac:dyDescent="0.4">
      <c r="A474" s="2">
        <v>46043</v>
      </c>
      <c r="B474" s="1" t="s">
        <v>24</v>
      </c>
      <c r="C474" s="1" t="s">
        <v>6</v>
      </c>
      <c r="D474" s="1" t="s">
        <v>69</v>
      </c>
      <c r="E474" s="7">
        <v>157829</v>
      </c>
      <c r="F474" s="4">
        <v>4</v>
      </c>
      <c r="G474" s="4">
        <v>3</v>
      </c>
      <c r="H474" s="4">
        <v>3</v>
      </c>
      <c r="I474" s="4">
        <v>1</v>
      </c>
      <c r="J474" s="4">
        <v>30000</v>
      </c>
      <c r="K474" s="4">
        <v>1</v>
      </c>
      <c r="L474" s="4">
        <v>20000</v>
      </c>
      <c r="M474" s="5">
        <f t="shared" si="50"/>
        <v>1</v>
      </c>
      <c r="N474" s="5">
        <f t="shared" si="51"/>
        <v>0.75</v>
      </c>
      <c r="O474" s="5">
        <f t="shared" si="52"/>
        <v>0.33333333333333331</v>
      </c>
      <c r="P474" s="3">
        <f t="shared" si="53"/>
        <v>52609.666666666664</v>
      </c>
      <c r="Q474" s="6">
        <f t="shared" si="54"/>
        <v>2.2809496353648568</v>
      </c>
    </row>
    <row r="475" spans="1:17" x14ac:dyDescent="0.4">
      <c r="A475" s="2">
        <v>46043</v>
      </c>
      <c r="B475" s="1" t="s">
        <v>9</v>
      </c>
      <c r="C475" s="1" t="s">
        <v>6</v>
      </c>
      <c r="D475" s="1" t="s">
        <v>70</v>
      </c>
      <c r="E475" s="7">
        <v>355114</v>
      </c>
      <c r="F475" s="4">
        <v>9</v>
      </c>
      <c r="G475" s="4">
        <v>6</v>
      </c>
      <c r="H475" s="4">
        <v>4</v>
      </c>
      <c r="I475" s="4">
        <v>4</v>
      </c>
      <c r="J475" s="4">
        <v>110000</v>
      </c>
      <c r="K475" s="4">
        <v>1</v>
      </c>
      <c r="L475" s="4">
        <v>20000</v>
      </c>
      <c r="M475" s="5">
        <f t="shared" si="50"/>
        <v>0.66666666666666663</v>
      </c>
      <c r="N475" s="5">
        <f t="shared" si="51"/>
        <v>0.66666666666666663</v>
      </c>
      <c r="O475" s="5">
        <f t="shared" si="52"/>
        <v>1</v>
      </c>
      <c r="P475" s="3">
        <f t="shared" si="53"/>
        <v>59185.666666666664</v>
      </c>
      <c r="Q475" s="6">
        <f t="shared" si="54"/>
        <v>3.7171161936730175</v>
      </c>
    </row>
    <row r="476" spans="1:17" x14ac:dyDescent="0.4">
      <c r="A476" s="2">
        <v>46043</v>
      </c>
      <c r="B476" s="1" t="s">
        <v>15</v>
      </c>
      <c r="C476" s="1" t="s">
        <v>6</v>
      </c>
      <c r="D476" s="1" t="s">
        <v>44</v>
      </c>
      <c r="E476" s="7">
        <v>355114</v>
      </c>
      <c r="F476" s="4">
        <v>9</v>
      </c>
      <c r="G476" s="4">
        <v>5</v>
      </c>
      <c r="H476" s="4">
        <v>2</v>
      </c>
      <c r="I476" s="4">
        <v>1</v>
      </c>
      <c r="J476" s="4">
        <v>20000</v>
      </c>
      <c r="K476" s="4" t="s">
        <v>68</v>
      </c>
      <c r="L476" s="4" t="s">
        <v>68</v>
      </c>
      <c r="M476" s="5">
        <f t="shared" si="50"/>
        <v>0.4</v>
      </c>
      <c r="N476" s="5">
        <f t="shared" si="51"/>
        <v>0.55555555555555558</v>
      </c>
      <c r="O476" s="5">
        <f t="shared" si="52"/>
        <v>0.5</v>
      </c>
      <c r="P476" s="3">
        <f t="shared" si="53"/>
        <v>71022.8</v>
      </c>
      <c r="Q476" s="6">
        <f t="shared" si="54"/>
        <v>0.67583930794054869</v>
      </c>
    </row>
    <row r="477" spans="1:17" x14ac:dyDescent="0.4">
      <c r="A477" s="2">
        <v>46043</v>
      </c>
      <c r="B477" s="1" t="s">
        <v>10</v>
      </c>
      <c r="C477" s="1" t="s">
        <v>6</v>
      </c>
      <c r="D477" s="1" t="s">
        <v>33</v>
      </c>
      <c r="E477" s="7">
        <v>276200</v>
      </c>
      <c r="F477" s="4">
        <v>7</v>
      </c>
      <c r="G477" s="4">
        <v>1</v>
      </c>
      <c r="H477" s="4">
        <v>1</v>
      </c>
      <c r="I477" s="4" t="s">
        <v>68</v>
      </c>
      <c r="J477" s="4" t="s">
        <v>68</v>
      </c>
      <c r="K477" s="4" t="s">
        <v>68</v>
      </c>
      <c r="L477" s="4" t="s">
        <v>68</v>
      </c>
      <c r="M477" s="5">
        <f t="shared" si="50"/>
        <v>1</v>
      </c>
      <c r="N477" s="5">
        <f t="shared" si="51"/>
        <v>0.14285714285714285</v>
      </c>
      <c r="O477" s="5">
        <f t="shared" si="52"/>
        <v>0</v>
      </c>
      <c r="P477" s="3">
        <f t="shared" si="53"/>
        <v>276200</v>
      </c>
      <c r="Q477" s="6">
        <f t="shared" si="54"/>
        <v>0</v>
      </c>
    </row>
    <row r="478" spans="1:17" x14ac:dyDescent="0.4">
      <c r="A478" s="2">
        <v>46043</v>
      </c>
      <c r="B478" s="1" t="s">
        <v>74</v>
      </c>
      <c r="C478" s="1" t="s">
        <v>6</v>
      </c>
      <c r="D478" s="1" t="s">
        <v>71</v>
      </c>
      <c r="E478" s="7">
        <v>157829</v>
      </c>
      <c r="F478" s="4">
        <v>4</v>
      </c>
      <c r="G478" s="4">
        <v>1</v>
      </c>
      <c r="H478" s="4" t="s">
        <v>68</v>
      </c>
      <c r="I478" s="4">
        <v>1</v>
      </c>
      <c r="J478" s="4">
        <v>30000</v>
      </c>
      <c r="K478" s="4" t="s">
        <v>68</v>
      </c>
      <c r="L478" s="4" t="s">
        <v>68</v>
      </c>
      <c r="M478" s="5">
        <f t="shared" si="50"/>
        <v>0</v>
      </c>
      <c r="N478" s="5">
        <f t="shared" si="51"/>
        <v>0.25</v>
      </c>
      <c r="O478" s="5">
        <f t="shared" si="52"/>
        <v>0</v>
      </c>
      <c r="P478" s="3">
        <f t="shared" si="53"/>
        <v>157829</v>
      </c>
      <c r="Q478" s="6">
        <f t="shared" si="54"/>
        <v>2.2809496353648568</v>
      </c>
    </row>
    <row r="479" spans="1:17" x14ac:dyDescent="0.4">
      <c r="A479" s="2">
        <v>46043</v>
      </c>
      <c r="B479" s="1" t="s">
        <v>75</v>
      </c>
      <c r="C479" s="1" t="s">
        <v>6</v>
      </c>
      <c r="D479" s="1" t="s">
        <v>72</v>
      </c>
      <c r="E479" s="7">
        <v>157829</v>
      </c>
      <c r="F479" s="4">
        <v>4</v>
      </c>
      <c r="G479" s="4">
        <v>1</v>
      </c>
      <c r="H479" s="4" t="s">
        <v>68</v>
      </c>
      <c r="I479" s="4" t="s">
        <v>68</v>
      </c>
      <c r="J479" s="4" t="s">
        <v>68</v>
      </c>
      <c r="K479" s="4" t="s">
        <v>68</v>
      </c>
      <c r="L479" s="4" t="s">
        <v>68</v>
      </c>
      <c r="M479" s="5">
        <f t="shared" si="50"/>
        <v>0</v>
      </c>
      <c r="N479" s="5">
        <f t="shared" si="51"/>
        <v>0.25</v>
      </c>
      <c r="O479" s="5">
        <f t="shared" si="52"/>
        <v>0</v>
      </c>
      <c r="P479" s="3">
        <f t="shared" si="53"/>
        <v>157829</v>
      </c>
      <c r="Q479" s="6">
        <f t="shared" si="54"/>
        <v>0</v>
      </c>
    </row>
    <row r="480" spans="1:17" x14ac:dyDescent="0.4">
      <c r="A480" s="2">
        <v>46043</v>
      </c>
      <c r="B480" s="1" t="s">
        <v>5</v>
      </c>
      <c r="C480" s="1" t="s">
        <v>6</v>
      </c>
      <c r="D480" s="1" t="s">
        <v>52</v>
      </c>
      <c r="E480" s="7">
        <v>236743</v>
      </c>
      <c r="F480" s="4">
        <v>6</v>
      </c>
      <c r="G480" s="4" t="s">
        <v>68</v>
      </c>
      <c r="H480" s="4" t="s">
        <v>68</v>
      </c>
      <c r="I480" s="4" t="s">
        <v>68</v>
      </c>
      <c r="J480" s="4" t="s">
        <v>68</v>
      </c>
      <c r="K480" s="4" t="s">
        <v>68</v>
      </c>
      <c r="L480" s="4" t="s">
        <v>68</v>
      </c>
      <c r="M480" s="5">
        <f t="shared" si="50"/>
        <v>0</v>
      </c>
      <c r="N480" s="5">
        <f t="shared" si="51"/>
        <v>0</v>
      </c>
      <c r="O480" s="5">
        <f t="shared" si="52"/>
        <v>0</v>
      </c>
      <c r="P480" s="3">
        <f t="shared" si="53"/>
        <v>0</v>
      </c>
      <c r="Q480" s="6">
        <f t="shared" si="54"/>
        <v>0</v>
      </c>
    </row>
    <row r="481" spans="1:17" x14ac:dyDescent="0.4">
      <c r="A481" s="2">
        <v>46043</v>
      </c>
      <c r="B481" s="1" t="s">
        <v>26</v>
      </c>
      <c r="C481" s="1" t="s">
        <v>36</v>
      </c>
      <c r="D481" s="1" t="s">
        <v>52</v>
      </c>
      <c r="E481" s="7">
        <v>0</v>
      </c>
      <c r="F481" s="4">
        <v>2</v>
      </c>
      <c r="G481" s="4"/>
      <c r="H481" s="4"/>
      <c r="I481" s="4"/>
      <c r="J481" s="4"/>
      <c r="K481" s="4"/>
      <c r="L481" s="4"/>
      <c r="M481" s="5">
        <f t="shared" si="50"/>
        <v>0</v>
      </c>
      <c r="N481" s="5">
        <f t="shared" si="51"/>
        <v>0</v>
      </c>
      <c r="O481" s="5">
        <f t="shared" si="52"/>
        <v>0</v>
      </c>
      <c r="P481" s="3">
        <f t="shared" si="53"/>
        <v>0</v>
      </c>
      <c r="Q481" s="6">
        <f t="shared" si="54"/>
        <v>0</v>
      </c>
    </row>
    <row r="482" spans="1:17" x14ac:dyDescent="0.4">
      <c r="A482" s="2">
        <v>46043</v>
      </c>
      <c r="B482" s="1" t="s">
        <v>51</v>
      </c>
      <c r="C482" s="1" t="s">
        <v>50</v>
      </c>
      <c r="D482" s="1" t="s">
        <v>54</v>
      </c>
      <c r="E482" s="7">
        <v>285714.28571428574</v>
      </c>
      <c r="F482" s="4">
        <v>2</v>
      </c>
      <c r="G482" s="4"/>
      <c r="H482" s="4"/>
      <c r="I482" s="4"/>
      <c r="J482" s="4"/>
      <c r="K482" s="4"/>
      <c r="L482" s="4"/>
      <c r="M482" s="5">
        <f t="shared" si="50"/>
        <v>0</v>
      </c>
      <c r="N482" s="5">
        <f t="shared" si="51"/>
        <v>0</v>
      </c>
      <c r="O482" s="5">
        <f t="shared" si="52"/>
        <v>0</v>
      </c>
      <c r="P482" s="3">
        <f t="shared" si="53"/>
        <v>0</v>
      </c>
      <c r="Q482" s="6">
        <f t="shared" si="54"/>
        <v>0</v>
      </c>
    </row>
    <row r="483" spans="1:17" x14ac:dyDescent="0.4">
      <c r="A483" s="2">
        <v>46043</v>
      </c>
      <c r="B483" s="1" t="s">
        <v>56</v>
      </c>
      <c r="C483" s="1" t="s">
        <v>57</v>
      </c>
      <c r="D483" s="1" t="s">
        <v>59</v>
      </c>
      <c r="E483" s="7">
        <v>0</v>
      </c>
      <c r="F483" s="4">
        <v>0</v>
      </c>
      <c r="G483" s="4">
        <v>4</v>
      </c>
      <c r="H483" s="4">
        <v>1</v>
      </c>
      <c r="I483" s="4">
        <v>1</v>
      </c>
      <c r="J483" s="4">
        <v>20000</v>
      </c>
      <c r="K483" s="4"/>
      <c r="L483" s="4"/>
      <c r="M483" s="5">
        <f t="shared" si="50"/>
        <v>0.25</v>
      </c>
      <c r="N483" s="5">
        <f t="shared" si="51"/>
        <v>0</v>
      </c>
      <c r="O483" s="5">
        <f t="shared" si="52"/>
        <v>1</v>
      </c>
      <c r="P483" s="3">
        <f t="shared" si="53"/>
        <v>0</v>
      </c>
      <c r="Q483" s="6">
        <f t="shared" si="54"/>
        <v>0</v>
      </c>
    </row>
    <row r="484" spans="1:17" x14ac:dyDescent="0.4">
      <c r="A484" s="2">
        <v>46043</v>
      </c>
      <c r="B484" s="1" t="s">
        <v>16</v>
      </c>
      <c r="C484" s="1" t="s">
        <v>58</v>
      </c>
      <c r="D484" s="1" t="s">
        <v>53</v>
      </c>
      <c r="E484" s="7">
        <v>0</v>
      </c>
      <c r="F484" s="4">
        <v>0</v>
      </c>
      <c r="G484" s="4"/>
      <c r="H484" s="4"/>
      <c r="I484" s="4"/>
      <c r="J484" s="4"/>
      <c r="K484" s="4"/>
      <c r="L484" s="4"/>
      <c r="M484" s="5">
        <f t="shared" si="50"/>
        <v>0</v>
      </c>
      <c r="N484" s="5">
        <f t="shared" si="51"/>
        <v>0</v>
      </c>
      <c r="O484" s="5">
        <f t="shared" si="52"/>
        <v>0</v>
      </c>
      <c r="P484" s="3">
        <f t="shared" si="53"/>
        <v>0</v>
      </c>
      <c r="Q484" s="6">
        <f t="shared" si="54"/>
        <v>0</v>
      </c>
    </row>
    <row r="485" spans="1:17" x14ac:dyDescent="0.4">
      <c r="A485" s="2">
        <v>46043</v>
      </c>
      <c r="B485" s="1" t="s">
        <v>19</v>
      </c>
      <c r="C485" s="1" t="s">
        <v>20</v>
      </c>
      <c r="D485" s="1" t="s">
        <v>34</v>
      </c>
      <c r="E485" s="7">
        <v>210638.29787234045</v>
      </c>
      <c r="F485" s="4">
        <v>4</v>
      </c>
      <c r="G485" s="4">
        <v>2</v>
      </c>
      <c r="H485" s="4">
        <v>2</v>
      </c>
      <c r="I485" s="4">
        <v>1</v>
      </c>
      <c r="J485" s="4">
        <v>25000</v>
      </c>
      <c r="K485" s="4"/>
      <c r="L485" s="4"/>
      <c r="M485" s="5">
        <f t="shared" si="50"/>
        <v>1</v>
      </c>
      <c r="N485" s="5">
        <f t="shared" si="51"/>
        <v>0.5</v>
      </c>
      <c r="O485" s="5">
        <f t="shared" si="52"/>
        <v>0.5</v>
      </c>
      <c r="P485" s="3">
        <f t="shared" si="53"/>
        <v>105319.14893617023</v>
      </c>
      <c r="Q485" s="6">
        <f t="shared" si="54"/>
        <v>1.4242424242424241</v>
      </c>
    </row>
    <row r="486" spans="1:17" x14ac:dyDescent="0.4">
      <c r="A486" s="2">
        <v>46043</v>
      </c>
      <c r="B486" s="1" t="s">
        <v>23</v>
      </c>
      <c r="C486" s="1" t="s">
        <v>37</v>
      </c>
      <c r="D486" s="1" t="s">
        <v>32</v>
      </c>
      <c r="E486" s="7">
        <v>0</v>
      </c>
      <c r="F486" s="4">
        <v>7</v>
      </c>
      <c r="G486" s="4"/>
      <c r="H486" s="4"/>
      <c r="I486" s="4"/>
      <c r="J486" s="4"/>
      <c r="K486" s="4"/>
      <c r="L486" s="4"/>
      <c r="M486" s="5">
        <f t="shared" si="50"/>
        <v>0</v>
      </c>
      <c r="N486" s="5">
        <f t="shared" si="51"/>
        <v>0</v>
      </c>
      <c r="O486" s="5">
        <f t="shared" si="52"/>
        <v>0</v>
      </c>
      <c r="P486" s="3">
        <f t="shared" si="53"/>
        <v>0</v>
      </c>
      <c r="Q486" s="6">
        <f t="shared" si="54"/>
        <v>0</v>
      </c>
    </row>
    <row r="487" spans="1:17" x14ac:dyDescent="0.4">
      <c r="A487" s="2">
        <v>46043</v>
      </c>
      <c r="B487" s="1" t="s">
        <v>21</v>
      </c>
      <c r="C487" s="1" t="s">
        <v>22</v>
      </c>
      <c r="D487" s="1" t="s">
        <v>32</v>
      </c>
      <c r="E487" s="7">
        <v>283870.96774193551</v>
      </c>
      <c r="F487" s="4">
        <v>9</v>
      </c>
      <c r="G487" s="4"/>
      <c r="H487" s="4"/>
      <c r="I487" s="4"/>
      <c r="J487" s="4"/>
      <c r="K487" s="4">
        <v>1</v>
      </c>
      <c r="L487" s="4">
        <v>30000</v>
      </c>
      <c r="M487" s="5">
        <f t="shared" si="50"/>
        <v>0</v>
      </c>
      <c r="N487" s="5">
        <f t="shared" si="51"/>
        <v>0</v>
      </c>
      <c r="O487" s="5">
        <f t="shared" si="52"/>
        <v>0</v>
      </c>
      <c r="P487" s="3">
        <f t="shared" si="53"/>
        <v>0</v>
      </c>
      <c r="Q487" s="6">
        <f t="shared" si="54"/>
        <v>0</v>
      </c>
    </row>
    <row r="488" spans="1:17" x14ac:dyDescent="0.4">
      <c r="A488" s="2">
        <v>46043</v>
      </c>
      <c r="B488" s="1" t="s">
        <v>61</v>
      </c>
      <c r="C488" s="1" t="s">
        <v>64</v>
      </c>
      <c r="D488" s="1" t="s">
        <v>66</v>
      </c>
      <c r="E488" s="7">
        <v>0</v>
      </c>
      <c r="F488" s="4">
        <v>0</v>
      </c>
      <c r="G488" s="4"/>
      <c r="H488" s="4"/>
      <c r="I488" s="4"/>
      <c r="J488" s="4"/>
      <c r="K488" s="4"/>
      <c r="L488" s="4"/>
      <c r="M488" s="5">
        <f t="shared" si="50"/>
        <v>0</v>
      </c>
      <c r="N488" s="5">
        <f t="shared" si="51"/>
        <v>0</v>
      </c>
      <c r="O488" s="5">
        <f t="shared" si="52"/>
        <v>0</v>
      </c>
      <c r="P488" s="3">
        <f t="shared" si="53"/>
        <v>0</v>
      </c>
      <c r="Q488" s="6">
        <f t="shared" si="54"/>
        <v>0</v>
      </c>
    </row>
    <row r="489" spans="1:17" x14ac:dyDescent="0.4">
      <c r="A489" s="2">
        <v>46043</v>
      </c>
      <c r="B489" s="1" t="s">
        <v>62</v>
      </c>
      <c r="C489" s="1" t="s">
        <v>65</v>
      </c>
      <c r="D489" s="1" t="s">
        <v>67</v>
      </c>
      <c r="E489" s="7">
        <v>0</v>
      </c>
      <c r="F489" s="4">
        <v>0</v>
      </c>
      <c r="G489" s="4"/>
      <c r="H489" s="4"/>
      <c r="I489" s="4"/>
      <c r="J489" s="4"/>
      <c r="K489" s="4"/>
      <c r="L489" s="4"/>
      <c r="M489" s="5">
        <f t="shared" si="50"/>
        <v>0</v>
      </c>
      <c r="N489" s="5">
        <f t="shared" si="51"/>
        <v>0</v>
      </c>
      <c r="O489" s="5">
        <f t="shared" si="52"/>
        <v>0</v>
      </c>
      <c r="P489" s="3">
        <f t="shared" si="53"/>
        <v>0</v>
      </c>
      <c r="Q489" s="6">
        <f t="shared" si="54"/>
        <v>0</v>
      </c>
    </row>
    <row r="490" spans="1:17" x14ac:dyDescent="0.4">
      <c r="A490" s="2">
        <v>46043</v>
      </c>
      <c r="B490" s="1" t="s">
        <v>42</v>
      </c>
      <c r="C490" s="1" t="s">
        <v>38</v>
      </c>
      <c r="D490" s="1" t="s">
        <v>42</v>
      </c>
      <c r="E490" s="7">
        <v>0</v>
      </c>
      <c r="F490" s="4">
        <v>0</v>
      </c>
      <c r="G490" s="4"/>
      <c r="H490" s="4"/>
      <c r="I490" s="4"/>
      <c r="J490" s="4"/>
      <c r="K490" s="4"/>
      <c r="L490" s="4"/>
      <c r="M490" s="5">
        <f t="shared" si="50"/>
        <v>0</v>
      </c>
      <c r="N490" s="5">
        <f t="shared" si="51"/>
        <v>0</v>
      </c>
      <c r="O490" s="5">
        <f t="shared" si="52"/>
        <v>0</v>
      </c>
      <c r="P490" s="3">
        <f t="shared" si="53"/>
        <v>0</v>
      </c>
      <c r="Q490" s="6">
        <f t="shared" si="54"/>
        <v>0</v>
      </c>
    </row>
    <row r="491" spans="1:17" x14ac:dyDescent="0.4">
      <c r="A491" s="2">
        <v>46043</v>
      </c>
      <c r="B491" s="1" t="s">
        <v>7</v>
      </c>
      <c r="C491" s="1" t="s">
        <v>8</v>
      </c>
      <c r="D491" s="1" t="s">
        <v>42</v>
      </c>
      <c r="E491" s="7">
        <v>0</v>
      </c>
      <c r="F491" s="4">
        <v>0</v>
      </c>
      <c r="G491" s="3">
        <v>6</v>
      </c>
      <c r="H491" s="3">
        <v>3</v>
      </c>
      <c r="I491" s="3"/>
      <c r="J491" s="3"/>
      <c r="K491" s="3"/>
      <c r="L491" s="3"/>
      <c r="M491" s="5">
        <f t="shared" si="50"/>
        <v>0.5</v>
      </c>
      <c r="N491" s="5">
        <f t="shared" si="51"/>
        <v>0</v>
      </c>
      <c r="O491" s="5">
        <f t="shared" si="52"/>
        <v>0</v>
      </c>
      <c r="P491" s="3">
        <f t="shared" si="53"/>
        <v>0</v>
      </c>
      <c r="Q491" s="6">
        <f t="shared" si="54"/>
        <v>0</v>
      </c>
    </row>
    <row r="492" spans="1:17" x14ac:dyDescent="0.4">
      <c r="A492" s="2">
        <v>46044</v>
      </c>
      <c r="B492" s="1" t="s">
        <v>13</v>
      </c>
      <c r="C492" s="1" t="s">
        <v>14</v>
      </c>
      <c r="D492" s="1" t="s">
        <v>31</v>
      </c>
      <c r="E492" s="7">
        <v>1420261.0669693549</v>
      </c>
      <c r="F492" s="4">
        <v>3</v>
      </c>
      <c r="G492" s="4">
        <v>14</v>
      </c>
      <c r="H492" s="4">
        <v>10</v>
      </c>
      <c r="I492" s="4">
        <v>7</v>
      </c>
      <c r="J492" s="4">
        <v>120000</v>
      </c>
      <c r="K492" s="4"/>
      <c r="L492" s="4"/>
      <c r="M492" s="5">
        <f t="shared" ref="M492:M568" si="55">IFERROR(H492/G492,0)</f>
        <v>0.7142857142857143</v>
      </c>
      <c r="N492" s="5">
        <f t="shared" ref="N492:N568" si="56">IFERROR(G492/F492,0)</f>
        <v>4.666666666666667</v>
      </c>
      <c r="O492" s="5">
        <f t="shared" ref="O492:O568" si="57">IFERROR(I492/H492,0)</f>
        <v>0.7</v>
      </c>
      <c r="P492" s="3">
        <f t="shared" ref="P492:P568" si="58">IFERROR(E492/G492,0)</f>
        <v>101447.21906923964</v>
      </c>
      <c r="Q492" s="6">
        <f t="shared" ref="Q492:Q568" si="59">IFERROR(J492*12/E492,0)</f>
        <v>1.0138981018981006</v>
      </c>
    </row>
    <row r="493" spans="1:17" x14ac:dyDescent="0.4">
      <c r="A493" s="2">
        <v>46044</v>
      </c>
      <c r="B493" s="1" t="s">
        <v>11</v>
      </c>
      <c r="C493" s="1" t="s">
        <v>12</v>
      </c>
      <c r="D493" s="1" t="s">
        <v>32</v>
      </c>
      <c r="E493" s="7">
        <v>248120.30075187972</v>
      </c>
      <c r="F493" s="4">
        <v>6</v>
      </c>
      <c r="G493" s="4">
        <v>1</v>
      </c>
      <c r="H493" s="4">
        <v>1</v>
      </c>
      <c r="I493" s="4"/>
      <c r="J493" s="4"/>
      <c r="K493" s="4"/>
      <c r="L493" s="4"/>
      <c r="M493" s="5">
        <f t="shared" si="55"/>
        <v>1</v>
      </c>
      <c r="N493" s="5">
        <f t="shared" si="56"/>
        <v>0.16666666666666666</v>
      </c>
      <c r="O493" s="5">
        <f t="shared" si="57"/>
        <v>0</v>
      </c>
      <c r="P493" s="3">
        <f t="shared" si="58"/>
        <v>248120.30075187972</v>
      </c>
      <c r="Q493" s="6">
        <f t="shared" si="59"/>
        <v>0</v>
      </c>
    </row>
    <row r="494" spans="1:17" x14ac:dyDescent="0.4">
      <c r="A494" s="2">
        <v>46044</v>
      </c>
      <c r="B494" s="1" t="s">
        <v>17</v>
      </c>
      <c r="C494" s="1" t="s">
        <v>18</v>
      </c>
      <c r="D494" s="1" t="s">
        <v>59</v>
      </c>
      <c r="E494" s="7">
        <v>177419.35483870967</v>
      </c>
      <c r="F494" s="4">
        <v>4</v>
      </c>
      <c r="G494" s="4">
        <v>1</v>
      </c>
      <c r="H494" s="4"/>
      <c r="I494" s="4"/>
      <c r="J494" s="4"/>
      <c r="K494" s="4"/>
      <c r="L494" s="4"/>
      <c r="M494" s="5">
        <f t="shared" si="55"/>
        <v>0</v>
      </c>
      <c r="N494" s="5">
        <f t="shared" si="56"/>
        <v>0.25</v>
      </c>
      <c r="O494" s="5">
        <f t="shared" si="57"/>
        <v>0</v>
      </c>
      <c r="P494" s="3">
        <f t="shared" si="58"/>
        <v>177419.35483870967</v>
      </c>
      <c r="Q494" s="6">
        <f t="shared" si="59"/>
        <v>0</v>
      </c>
    </row>
    <row r="495" spans="1:17" x14ac:dyDescent="0.4">
      <c r="A495" s="2">
        <v>46044</v>
      </c>
      <c r="B495" s="1" t="s">
        <v>25</v>
      </c>
      <c r="C495" s="1" t="s">
        <v>35</v>
      </c>
      <c r="D495" s="1" t="s">
        <v>32</v>
      </c>
      <c r="E495" s="7">
        <v>0</v>
      </c>
      <c r="F495" s="4">
        <v>4</v>
      </c>
      <c r="G495" s="4">
        <v>2</v>
      </c>
      <c r="H495" s="4"/>
      <c r="I495" s="4"/>
      <c r="J495" s="4"/>
      <c r="K495" s="4"/>
      <c r="L495" s="4"/>
      <c r="M495" s="5">
        <f t="shared" si="55"/>
        <v>0</v>
      </c>
      <c r="N495" s="5">
        <f t="shared" si="56"/>
        <v>0.5</v>
      </c>
      <c r="O495" s="5">
        <f t="shared" si="57"/>
        <v>0</v>
      </c>
      <c r="P495" s="3">
        <f t="shared" si="58"/>
        <v>0</v>
      </c>
      <c r="Q495" s="6">
        <f t="shared" si="59"/>
        <v>0</v>
      </c>
    </row>
    <row r="496" spans="1:17" x14ac:dyDescent="0.4">
      <c r="A496" s="2">
        <v>46044</v>
      </c>
      <c r="B496" s="1" t="s">
        <v>24</v>
      </c>
      <c r="C496" s="1" t="s">
        <v>6</v>
      </c>
      <c r="D496" s="1" t="s">
        <v>69</v>
      </c>
      <c r="E496" s="7">
        <v>153956</v>
      </c>
      <c r="F496" s="4">
        <v>4</v>
      </c>
      <c r="G496" s="4" t="s">
        <v>68</v>
      </c>
      <c r="H496" s="4" t="s">
        <v>68</v>
      </c>
      <c r="I496" s="4" t="s">
        <v>68</v>
      </c>
      <c r="J496" s="4" t="s">
        <v>68</v>
      </c>
      <c r="K496" s="4" t="s">
        <v>68</v>
      </c>
      <c r="L496" s="4" t="s">
        <v>68</v>
      </c>
      <c r="M496" s="5">
        <f t="shared" si="55"/>
        <v>0</v>
      </c>
      <c r="N496" s="5">
        <f t="shared" si="56"/>
        <v>0</v>
      </c>
      <c r="O496" s="5">
        <f t="shared" si="57"/>
        <v>0</v>
      </c>
      <c r="P496" s="3">
        <f t="shared" si="58"/>
        <v>0</v>
      </c>
      <c r="Q496" s="6">
        <f t="shared" si="59"/>
        <v>0</v>
      </c>
    </row>
    <row r="497" spans="1:17" x14ac:dyDescent="0.4">
      <c r="A497" s="2">
        <v>46044</v>
      </c>
      <c r="B497" s="1" t="s">
        <v>9</v>
      </c>
      <c r="C497" s="1" t="s">
        <v>6</v>
      </c>
      <c r="D497" s="1" t="s">
        <v>70</v>
      </c>
      <c r="E497" s="7">
        <v>346401</v>
      </c>
      <c r="F497" s="4">
        <v>9</v>
      </c>
      <c r="G497" s="4">
        <v>1</v>
      </c>
      <c r="H497" s="4">
        <v>1</v>
      </c>
      <c r="I497" s="4">
        <v>1</v>
      </c>
      <c r="J497" s="4">
        <v>25000</v>
      </c>
      <c r="K497" s="4" t="s">
        <v>68</v>
      </c>
      <c r="L497" s="4" t="s">
        <v>68</v>
      </c>
      <c r="M497" s="5">
        <f t="shared" si="55"/>
        <v>1</v>
      </c>
      <c r="N497" s="5">
        <f t="shared" si="56"/>
        <v>0.1111111111111111</v>
      </c>
      <c r="O497" s="5">
        <f t="shared" si="57"/>
        <v>1</v>
      </c>
      <c r="P497" s="3">
        <f t="shared" si="58"/>
        <v>346401</v>
      </c>
      <c r="Q497" s="6">
        <f t="shared" si="59"/>
        <v>0.86604830817462997</v>
      </c>
    </row>
    <row r="498" spans="1:17" x14ac:dyDescent="0.4">
      <c r="A498" s="2">
        <v>46044</v>
      </c>
      <c r="B498" s="1" t="s">
        <v>15</v>
      </c>
      <c r="C498" s="1" t="s">
        <v>6</v>
      </c>
      <c r="D498" s="1" t="s">
        <v>44</v>
      </c>
      <c r="E498" s="7">
        <v>346401</v>
      </c>
      <c r="F498" s="4">
        <v>9</v>
      </c>
      <c r="G498" s="4">
        <v>5</v>
      </c>
      <c r="H498" s="4">
        <v>4</v>
      </c>
      <c r="I498" s="4">
        <v>3</v>
      </c>
      <c r="J498" s="4">
        <v>60000</v>
      </c>
      <c r="K498" s="4" t="s">
        <v>68</v>
      </c>
      <c r="L498" s="4" t="s">
        <v>68</v>
      </c>
      <c r="M498" s="5">
        <f t="shared" si="55"/>
        <v>0.8</v>
      </c>
      <c r="N498" s="5">
        <f t="shared" si="56"/>
        <v>0.55555555555555558</v>
      </c>
      <c r="O498" s="5">
        <f t="shared" si="57"/>
        <v>0.75</v>
      </c>
      <c r="P498" s="3">
        <f t="shared" si="58"/>
        <v>69280.2</v>
      </c>
      <c r="Q498" s="6">
        <f t="shared" si="59"/>
        <v>2.0785159396191117</v>
      </c>
    </row>
    <row r="499" spans="1:17" x14ac:dyDescent="0.4">
      <c r="A499" s="2">
        <v>46044</v>
      </c>
      <c r="B499" s="1" t="s">
        <v>10</v>
      </c>
      <c r="C499" s="1" t="s">
        <v>6</v>
      </c>
      <c r="D499" s="1" t="s">
        <v>33</v>
      </c>
      <c r="E499" s="7">
        <v>269423</v>
      </c>
      <c r="F499" s="4">
        <v>7</v>
      </c>
      <c r="G499" s="4">
        <v>2</v>
      </c>
      <c r="H499" s="4">
        <v>2</v>
      </c>
      <c r="I499" s="4" t="s">
        <v>68</v>
      </c>
      <c r="J499" s="4" t="s">
        <v>68</v>
      </c>
      <c r="K499" s="4">
        <v>1</v>
      </c>
      <c r="L499" s="4">
        <v>20000</v>
      </c>
      <c r="M499" s="5">
        <f t="shared" si="55"/>
        <v>1</v>
      </c>
      <c r="N499" s="5">
        <f t="shared" si="56"/>
        <v>0.2857142857142857</v>
      </c>
      <c r="O499" s="5">
        <f t="shared" si="57"/>
        <v>0</v>
      </c>
      <c r="P499" s="3">
        <f t="shared" si="58"/>
        <v>134711.5</v>
      </c>
      <c r="Q499" s="6">
        <f t="shared" si="59"/>
        <v>0</v>
      </c>
    </row>
    <row r="500" spans="1:17" x14ac:dyDescent="0.4">
      <c r="A500" s="2">
        <v>46044</v>
      </c>
      <c r="B500" s="1" t="s">
        <v>74</v>
      </c>
      <c r="C500" s="1" t="s">
        <v>6</v>
      </c>
      <c r="D500" s="1" t="s">
        <v>71</v>
      </c>
      <c r="E500" s="7">
        <v>192445</v>
      </c>
      <c r="F500" s="4">
        <v>5</v>
      </c>
      <c r="G500" s="4">
        <v>1</v>
      </c>
      <c r="H500" s="4">
        <v>1</v>
      </c>
      <c r="I500" s="4" t="s">
        <v>68</v>
      </c>
      <c r="J500" s="4" t="s">
        <v>68</v>
      </c>
      <c r="K500" s="4">
        <v>1</v>
      </c>
      <c r="L500" s="4">
        <v>20000</v>
      </c>
      <c r="M500" s="5">
        <f t="shared" si="55"/>
        <v>1</v>
      </c>
      <c r="N500" s="5">
        <f t="shared" si="56"/>
        <v>0.2</v>
      </c>
      <c r="O500" s="5">
        <f t="shared" si="57"/>
        <v>0</v>
      </c>
      <c r="P500" s="3">
        <f t="shared" si="58"/>
        <v>192445</v>
      </c>
      <c r="Q500" s="6">
        <f t="shared" si="59"/>
        <v>0</v>
      </c>
    </row>
    <row r="501" spans="1:17" x14ac:dyDescent="0.4">
      <c r="A501" s="2">
        <v>46044</v>
      </c>
      <c r="B501" s="1" t="s">
        <v>75</v>
      </c>
      <c r="C501" s="1" t="s">
        <v>6</v>
      </c>
      <c r="D501" s="1" t="s">
        <v>72</v>
      </c>
      <c r="E501" s="7">
        <v>153956</v>
      </c>
      <c r="F501" s="4">
        <v>4</v>
      </c>
      <c r="G501" s="4">
        <v>2</v>
      </c>
      <c r="H501" s="4">
        <v>2</v>
      </c>
      <c r="I501" s="4" t="s">
        <v>68</v>
      </c>
      <c r="J501" s="4" t="s">
        <v>68</v>
      </c>
      <c r="K501" s="4">
        <v>1</v>
      </c>
      <c r="L501" s="4">
        <v>20000</v>
      </c>
      <c r="M501" s="5">
        <f t="shared" si="55"/>
        <v>1</v>
      </c>
      <c r="N501" s="5">
        <f t="shared" si="56"/>
        <v>0.5</v>
      </c>
      <c r="O501" s="5">
        <f t="shared" si="57"/>
        <v>0</v>
      </c>
      <c r="P501" s="3">
        <f t="shared" si="58"/>
        <v>76978</v>
      </c>
      <c r="Q501" s="6">
        <f t="shared" si="59"/>
        <v>0</v>
      </c>
    </row>
    <row r="502" spans="1:17" x14ac:dyDescent="0.4">
      <c r="A502" s="2">
        <v>46044</v>
      </c>
      <c r="B502" s="1" t="s">
        <v>5</v>
      </c>
      <c r="C502" s="1" t="s">
        <v>6</v>
      </c>
      <c r="D502" s="1" t="s">
        <v>52</v>
      </c>
      <c r="E502" s="7">
        <v>269423</v>
      </c>
      <c r="F502" s="4">
        <v>7</v>
      </c>
      <c r="G502" s="4">
        <v>3</v>
      </c>
      <c r="H502" s="4">
        <v>3</v>
      </c>
      <c r="I502" s="4">
        <v>1</v>
      </c>
      <c r="J502" s="4">
        <v>20000</v>
      </c>
      <c r="K502" s="4" t="s">
        <v>68</v>
      </c>
      <c r="L502" s="4" t="s">
        <v>68</v>
      </c>
      <c r="M502" s="5">
        <f t="shared" si="55"/>
        <v>1</v>
      </c>
      <c r="N502" s="5">
        <f t="shared" si="56"/>
        <v>0.42857142857142855</v>
      </c>
      <c r="O502" s="5">
        <f t="shared" si="57"/>
        <v>0.33333333333333331</v>
      </c>
      <c r="P502" s="3">
        <f t="shared" si="58"/>
        <v>89807.666666666672</v>
      </c>
      <c r="Q502" s="6">
        <f t="shared" si="59"/>
        <v>0.89079254555104803</v>
      </c>
    </row>
    <row r="503" spans="1:17" x14ac:dyDescent="0.4">
      <c r="A503" s="2">
        <v>46044</v>
      </c>
      <c r="B503" s="1" t="s">
        <v>26</v>
      </c>
      <c r="C503" s="1" t="s">
        <v>36</v>
      </c>
      <c r="D503" s="1" t="s">
        <v>52</v>
      </c>
      <c r="E503" s="7">
        <v>0</v>
      </c>
      <c r="F503" s="4">
        <v>2</v>
      </c>
      <c r="G503" s="4"/>
      <c r="H503" s="4"/>
      <c r="I503" s="4"/>
      <c r="J503" s="4"/>
      <c r="K503" s="4"/>
      <c r="L503" s="4"/>
      <c r="M503" s="5">
        <f t="shared" si="55"/>
        <v>0</v>
      </c>
      <c r="N503" s="5">
        <f t="shared" si="56"/>
        <v>0</v>
      </c>
      <c r="O503" s="5">
        <f t="shared" si="57"/>
        <v>0</v>
      </c>
      <c r="P503" s="3">
        <f t="shared" si="58"/>
        <v>0</v>
      </c>
      <c r="Q503" s="6">
        <f t="shared" si="59"/>
        <v>0</v>
      </c>
    </row>
    <row r="504" spans="1:17" x14ac:dyDescent="0.4">
      <c r="A504" s="2">
        <v>46044</v>
      </c>
      <c r="B504" s="1" t="s">
        <v>51</v>
      </c>
      <c r="C504" s="1" t="s">
        <v>50</v>
      </c>
      <c r="D504" s="1" t="s">
        <v>54</v>
      </c>
      <c r="E504" s="7">
        <v>142857.14285714287</v>
      </c>
      <c r="F504" s="4">
        <v>1</v>
      </c>
      <c r="G504" s="4"/>
      <c r="H504" s="4"/>
      <c r="I504" s="4"/>
      <c r="J504" s="4"/>
      <c r="K504" s="4"/>
      <c r="L504" s="4"/>
      <c r="M504" s="5">
        <f t="shared" si="55"/>
        <v>0</v>
      </c>
      <c r="N504" s="5">
        <f t="shared" si="56"/>
        <v>0</v>
      </c>
      <c r="O504" s="5">
        <f t="shared" si="57"/>
        <v>0</v>
      </c>
      <c r="P504" s="3">
        <f t="shared" si="58"/>
        <v>0</v>
      </c>
      <c r="Q504" s="6">
        <f t="shared" si="59"/>
        <v>0</v>
      </c>
    </row>
    <row r="505" spans="1:17" x14ac:dyDescent="0.4">
      <c r="A505" s="2">
        <v>46044</v>
      </c>
      <c r="B505" s="1" t="s">
        <v>16</v>
      </c>
      <c r="C505" s="1" t="s">
        <v>58</v>
      </c>
      <c r="D505" s="1" t="s">
        <v>53</v>
      </c>
      <c r="E505" s="7">
        <v>0</v>
      </c>
      <c r="F505" s="4">
        <v>0</v>
      </c>
      <c r="G505" s="4"/>
      <c r="H505" s="4"/>
      <c r="I505" s="4"/>
      <c r="J505" s="4"/>
      <c r="K505" s="4"/>
      <c r="L505" s="4"/>
      <c r="M505" s="5">
        <f t="shared" si="55"/>
        <v>0</v>
      </c>
      <c r="N505" s="5">
        <f t="shared" si="56"/>
        <v>0</v>
      </c>
      <c r="O505" s="5">
        <f t="shared" si="57"/>
        <v>0</v>
      </c>
      <c r="P505" s="3">
        <f t="shared" si="58"/>
        <v>0</v>
      </c>
      <c r="Q505" s="6">
        <f t="shared" si="59"/>
        <v>0</v>
      </c>
    </row>
    <row r="506" spans="1:17" x14ac:dyDescent="0.4">
      <c r="A506" s="2">
        <v>46044</v>
      </c>
      <c r="B506" s="1" t="s">
        <v>19</v>
      </c>
      <c r="C506" s="1" t="s">
        <v>20</v>
      </c>
      <c r="D506" s="1" t="s">
        <v>34</v>
      </c>
      <c r="E506" s="7">
        <v>101418.43971631207</v>
      </c>
      <c r="F506" s="4">
        <v>3</v>
      </c>
      <c r="G506" s="4">
        <v>3</v>
      </c>
      <c r="H506" s="4">
        <v>1</v>
      </c>
      <c r="I506" s="4">
        <v>2</v>
      </c>
      <c r="J506" s="4">
        <v>40000</v>
      </c>
      <c r="K506" s="4"/>
      <c r="L506" s="4"/>
      <c r="M506" s="5">
        <f t="shared" si="55"/>
        <v>0.33333333333333331</v>
      </c>
      <c r="N506" s="5">
        <f t="shared" si="56"/>
        <v>1</v>
      </c>
      <c r="O506" s="5">
        <f t="shared" si="57"/>
        <v>2</v>
      </c>
      <c r="P506" s="3">
        <f t="shared" si="58"/>
        <v>33806.146572104022</v>
      </c>
      <c r="Q506" s="6">
        <f t="shared" si="59"/>
        <v>4.7328671328671321</v>
      </c>
    </row>
    <row r="507" spans="1:17" x14ac:dyDescent="0.4">
      <c r="A507" s="2">
        <v>46044</v>
      </c>
      <c r="B507" s="1" t="s">
        <v>23</v>
      </c>
      <c r="C507" s="1" t="s">
        <v>37</v>
      </c>
      <c r="D507" s="1" t="s">
        <v>32</v>
      </c>
      <c r="E507" s="7">
        <v>0</v>
      </c>
      <c r="F507" s="4">
        <v>7</v>
      </c>
      <c r="G507" s="4"/>
      <c r="H507" s="4"/>
      <c r="I507" s="4"/>
      <c r="J507" s="4"/>
      <c r="K507" s="4"/>
      <c r="L507" s="4"/>
      <c r="M507" s="5">
        <f t="shared" si="55"/>
        <v>0</v>
      </c>
      <c r="N507" s="5">
        <f t="shared" si="56"/>
        <v>0</v>
      </c>
      <c r="O507" s="5">
        <f t="shared" si="57"/>
        <v>0</v>
      </c>
      <c r="P507" s="3">
        <f t="shared" si="58"/>
        <v>0</v>
      </c>
      <c r="Q507" s="6">
        <f t="shared" si="59"/>
        <v>0</v>
      </c>
    </row>
    <row r="508" spans="1:17" x14ac:dyDescent="0.4">
      <c r="A508" s="2">
        <v>46044</v>
      </c>
      <c r="B508" s="1" t="s">
        <v>21</v>
      </c>
      <c r="C508" s="1" t="s">
        <v>22</v>
      </c>
      <c r="D508" s="1" t="s">
        <v>32</v>
      </c>
      <c r="E508" s="7">
        <v>283870.96774193551</v>
      </c>
      <c r="F508" s="4">
        <v>9</v>
      </c>
      <c r="G508" s="4">
        <v>6</v>
      </c>
      <c r="H508" s="4">
        <v>5</v>
      </c>
      <c r="I508" s="4">
        <v>2</v>
      </c>
      <c r="J508" s="4">
        <v>45000</v>
      </c>
      <c r="K508" s="4">
        <v>1</v>
      </c>
      <c r="L508" s="4">
        <v>20000</v>
      </c>
      <c r="M508" s="5">
        <f t="shared" si="55"/>
        <v>0.83333333333333337</v>
      </c>
      <c r="N508" s="5">
        <f t="shared" si="56"/>
        <v>0.66666666666666663</v>
      </c>
      <c r="O508" s="5">
        <f t="shared" si="57"/>
        <v>0.4</v>
      </c>
      <c r="P508" s="3">
        <f t="shared" si="58"/>
        <v>47311.827956989255</v>
      </c>
      <c r="Q508" s="6">
        <f t="shared" si="59"/>
        <v>1.9022727272727271</v>
      </c>
    </row>
    <row r="509" spans="1:17" x14ac:dyDescent="0.4">
      <c r="A509" s="2">
        <v>46044</v>
      </c>
      <c r="B509" s="1" t="s">
        <v>61</v>
      </c>
      <c r="C509" s="1" t="s">
        <v>64</v>
      </c>
      <c r="D509" s="1" t="s">
        <v>66</v>
      </c>
      <c r="E509" s="7">
        <v>0</v>
      </c>
      <c r="F509" s="4">
        <v>0</v>
      </c>
      <c r="G509" s="4"/>
      <c r="H509" s="4"/>
      <c r="I509" s="4"/>
      <c r="J509" s="4"/>
      <c r="K509" s="4"/>
      <c r="L509" s="4"/>
      <c r="M509" s="5">
        <f t="shared" si="55"/>
        <v>0</v>
      </c>
      <c r="N509" s="5">
        <f t="shared" si="56"/>
        <v>0</v>
      </c>
      <c r="O509" s="5">
        <f t="shared" si="57"/>
        <v>0</v>
      </c>
      <c r="P509" s="3">
        <f t="shared" si="58"/>
        <v>0</v>
      </c>
      <c r="Q509" s="6">
        <f t="shared" si="59"/>
        <v>0</v>
      </c>
    </row>
    <row r="510" spans="1:17" x14ac:dyDescent="0.4">
      <c r="A510" s="2">
        <v>46044</v>
      </c>
      <c r="B510" s="1" t="s">
        <v>62</v>
      </c>
      <c r="C510" s="1" t="s">
        <v>65</v>
      </c>
      <c r="D510" s="1" t="s">
        <v>67</v>
      </c>
      <c r="E510" s="7">
        <v>0</v>
      </c>
      <c r="F510" s="4">
        <v>0</v>
      </c>
      <c r="G510" s="4"/>
      <c r="H510" s="4"/>
      <c r="I510" s="4"/>
      <c r="J510" s="4"/>
      <c r="K510" s="4"/>
      <c r="L510" s="4"/>
      <c r="M510" s="5">
        <f t="shared" si="55"/>
        <v>0</v>
      </c>
      <c r="N510" s="5">
        <f t="shared" si="56"/>
        <v>0</v>
      </c>
      <c r="O510" s="5">
        <f t="shared" si="57"/>
        <v>0</v>
      </c>
      <c r="P510" s="3">
        <f t="shared" si="58"/>
        <v>0</v>
      </c>
      <c r="Q510" s="6">
        <f t="shared" si="59"/>
        <v>0</v>
      </c>
    </row>
    <row r="511" spans="1:17" x14ac:dyDescent="0.4">
      <c r="A511" s="2">
        <v>46044</v>
      </c>
      <c r="B511" s="1" t="s">
        <v>42</v>
      </c>
      <c r="C511" s="1" t="s">
        <v>38</v>
      </c>
      <c r="D511" s="1" t="s">
        <v>42</v>
      </c>
      <c r="E511" s="7">
        <v>0</v>
      </c>
      <c r="F511" s="4">
        <v>0</v>
      </c>
      <c r="G511" s="4"/>
      <c r="H511" s="4"/>
      <c r="I511" s="4"/>
      <c r="J511" s="4"/>
      <c r="K511" s="4"/>
      <c r="L511" s="4"/>
      <c r="M511" s="5">
        <f t="shared" si="55"/>
        <v>0</v>
      </c>
      <c r="N511" s="5">
        <f t="shared" si="56"/>
        <v>0</v>
      </c>
      <c r="O511" s="5">
        <f t="shared" si="57"/>
        <v>0</v>
      </c>
      <c r="P511" s="3">
        <f t="shared" si="58"/>
        <v>0</v>
      </c>
      <c r="Q511" s="6">
        <f t="shared" si="59"/>
        <v>0</v>
      </c>
    </row>
    <row r="512" spans="1:17" x14ac:dyDescent="0.4">
      <c r="A512" s="2">
        <v>46044</v>
      </c>
      <c r="B512" s="1" t="s">
        <v>7</v>
      </c>
      <c r="C512" s="1" t="s">
        <v>8</v>
      </c>
      <c r="D512" s="1" t="s">
        <v>42</v>
      </c>
      <c r="E512" s="7">
        <v>0</v>
      </c>
      <c r="F512" s="4">
        <v>0</v>
      </c>
      <c r="G512" s="3">
        <v>2</v>
      </c>
      <c r="H512" s="3">
        <v>1</v>
      </c>
      <c r="I512" s="3"/>
      <c r="J512" s="3"/>
      <c r="K512" s="3"/>
      <c r="L512" s="3"/>
      <c r="M512" s="5">
        <f t="shared" si="55"/>
        <v>0.5</v>
      </c>
      <c r="N512" s="5">
        <f t="shared" si="56"/>
        <v>0</v>
      </c>
      <c r="O512" s="5">
        <f t="shared" si="57"/>
        <v>0</v>
      </c>
      <c r="P512" s="3">
        <f t="shared" si="58"/>
        <v>0</v>
      </c>
      <c r="Q512" s="6">
        <f t="shared" si="59"/>
        <v>0</v>
      </c>
    </row>
    <row r="513" spans="1:17" x14ac:dyDescent="0.4">
      <c r="A513" s="2">
        <v>46045</v>
      </c>
      <c r="B513" s="1" t="s">
        <v>13</v>
      </c>
      <c r="C513" s="1" t="s">
        <v>14</v>
      </c>
      <c r="D513" s="1" t="s">
        <v>31</v>
      </c>
      <c r="E513" s="7">
        <v>2032065.8342792308</v>
      </c>
      <c r="F513" s="4">
        <v>4</v>
      </c>
      <c r="G513" s="4">
        <v>28</v>
      </c>
      <c r="H513" s="4">
        <v>14</v>
      </c>
      <c r="I513" s="4">
        <v>8</v>
      </c>
      <c r="J513" s="4">
        <v>195000</v>
      </c>
      <c r="K513" s="4">
        <v>4</v>
      </c>
      <c r="L513" s="4">
        <v>260000</v>
      </c>
      <c r="M513" s="5">
        <f t="shared" si="55"/>
        <v>0.5</v>
      </c>
      <c r="N513" s="5">
        <f t="shared" si="56"/>
        <v>7</v>
      </c>
      <c r="O513" s="5">
        <f t="shared" si="57"/>
        <v>0.5714285714285714</v>
      </c>
      <c r="P513" s="3">
        <f t="shared" si="58"/>
        <v>72573.779795686816</v>
      </c>
      <c r="Q513" s="6">
        <f t="shared" si="59"/>
        <v>1.1515374947632997</v>
      </c>
    </row>
    <row r="514" spans="1:17" x14ac:dyDescent="0.4">
      <c r="A514" s="2">
        <v>46045</v>
      </c>
      <c r="B514" s="1" t="s">
        <v>11</v>
      </c>
      <c r="C514" s="1" t="s">
        <v>12</v>
      </c>
      <c r="D514" s="1" t="s">
        <v>32</v>
      </c>
      <c r="E514" s="7">
        <v>165413.53383458647</v>
      </c>
      <c r="F514" s="4">
        <v>4</v>
      </c>
      <c r="G514" s="4">
        <v>1</v>
      </c>
      <c r="H514" s="4"/>
      <c r="I514" s="4"/>
      <c r="J514" s="4"/>
      <c r="K514" s="4">
        <v>1</v>
      </c>
      <c r="L514" s="4">
        <v>30000</v>
      </c>
      <c r="M514" s="5">
        <f t="shared" si="55"/>
        <v>0</v>
      </c>
      <c r="N514" s="5">
        <f t="shared" si="56"/>
        <v>0.25</v>
      </c>
      <c r="O514" s="5">
        <f t="shared" si="57"/>
        <v>0</v>
      </c>
      <c r="P514" s="3">
        <f t="shared" si="58"/>
        <v>165413.53383458647</v>
      </c>
      <c r="Q514" s="6">
        <f t="shared" si="59"/>
        <v>0</v>
      </c>
    </row>
    <row r="515" spans="1:17" x14ac:dyDescent="0.4">
      <c r="A515" s="2">
        <v>46045</v>
      </c>
      <c r="B515" s="1" t="s">
        <v>17</v>
      </c>
      <c r="C515" s="1" t="s">
        <v>18</v>
      </c>
      <c r="D515" s="1" t="s">
        <v>59</v>
      </c>
      <c r="E515" s="7">
        <v>177419.35483870967</v>
      </c>
      <c r="F515" s="4">
        <v>4</v>
      </c>
      <c r="G515" s="4">
        <v>3</v>
      </c>
      <c r="H515" s="4">
        <v>2</v>
      </c>
      <c r="I515" s="4"/>
      <c r="J515" s="4"/>
      <c r="K515" s="4"/>
      <c r="L515" s="4"/>
      <c r="M515" s="5">
        <f t="shared" si="55"/>
        <v>0.66666666666666663</v>
      </c>
      <c r="N515" s="5">
        <f t="shared" si="56"/>
        <v>0.75</v>
      </c>
      <c r="O515" s="5">
        <f t="shared" si="57"/>
        <v>0</v>
      </c>
      <c r="P515" s="3">
        <f t="shared" si="58"/>
        <v>59139.784946236556</v>
      </c>
      <c r="Q515" s="6">
        <f t="shared" si="59"/>
        <v>0</v>
      </c>
    </row>
    <row r="516" spans="1:17" x14ac:dyDescent="0.4">
      <c r="A516" s="2">
        <v>46045</v>
      </c>
      <c r="B516" s="1" t="s">
        <v>25</v>
      </c>
      <c r="C516" s="1" t="s">
        <v>35</v>
      </c>
      <c r="D516" s="1" t="s">
        <v>32</v>
      </c>
      <c r="E516" s="7">
        <v>0</v>
      </c>
      <c r="F516" s="4">
        <v>4</v>
      </c>
      <c r="G516" s="4">
        <v>2</v>
      </c>
      <c r="H516" s="4"/>
      <c r="I516" s="4">
        <v>1</v>
      </c>
      <c r="J516" s="4">
        <v>20000</v>
      </c>
      <c r="K516" s="4"/>
      <c r="L516" s="4"/>
      <c r="M516" s="5">
        <f t="shared" si="55"/>
        <v>0</v>
      </c>
      <c r="N516" s="5">
        <f t="shared" si="56"/>
        <v>0.5</v>
      </c>
      <c r="O516" s="5">
        <f t="shared" si="57"/>
        <v>0</v>
      </c>
      <c r="P516" s="3">
        <f t="shared" si="58"/>
        <v>0</v>
      </c>
      <c r="Q516" s="6">
        <f t="shared" si="59"/>
        <v>0</v>
      </c>
    </row>
    <row r="517" spans="1:17" x14ac:dyDescent="0.4">
      <c r="A517" s="2">
        <v>46045</v>
      </c>
      <c r="B517" s="1" t="s">
        <v>24</v>
      </c>
      <c r="C517" s="1" t="s">
        <v>6</v>
      </c>
      <c r="D517" s="1" t="s">
        <v>69</v>
      </c>
      <c r="E517" s="7">
        <v>157455</v>
      </c>
      <c r="F517" s="4">
        <v>4</v>
      </c>
      <c r="G517" s="4" t="s">
        <v>68</v>
      </c>
      <c r="H517" s="4" t="s">
        <v>68</v>
      </c>
      <c r="I517" s="4" t="s">
        <v>68</v>
      </c>
      <c r="J517" s="4" t="s">
        <v>68</v>
      </c>
      <c r="K517" s="4" t="s">
        <v>68</v>
      </c>
      <c r="L517" s="4" t="s">
        <v>68</v>
      </c>
      <c r="M517" s="5">
        <f t="shared" si="55"/>
        <v>0</v>
      </c>
      <c r="N517" s="5">
        <f t="shared" si="56"/>
        <v>0</v>
      </c>
      <c r="O517" s="5">
        <f t="shared" si="57"/>
        <v>0</v>
      </c>
      <c r="P517" s="3">
        <f t="shared" si="58"/>
        <v>0</v>
      </c>
      <c r="Q517" s="6">
        <f t="shared" si="59"/>
        <v>0</v>
      </c>
    </row>
    <row r="518" spans="1:17" x14ac:dyDescent="0.4">
      <c r="A518" s="2">
        <v>46045</v>
      </c>
      <c r="B518" s="1" t="s">
        <v>9</v>
      </c>
      <c r="C518" s="1" t="s">
        <v>6</v>
      </c>
      <c r="D518" s="1" t="s">
        <v>70</v>
      </c>
      <c r="E518" s="7">
        <v>354274</v>
      </c>
      <c r="F518" s="4">
        <v>9</v>
      </c>
      <c r="G518" s="4">
        <v>6</v>
      </c>
      <c r="H518" s="4">
        <v>4</v>
      </c>
      <c r="I518" s="4">
        <v>3</v>
      </c>
      <c r="J518" s="4">
        <v>60000</v>
      </c>
      <c r="K518" s="4" t="s">
        <v>68</v>
      </c>
      <c r="L518" s="4" t="s">
        <v>68</v>
      </c>
      <c r="M518" s="5">
        <f t="shared" si="55"/>
        <v>0.66666666666666663</v>
      </c>
      <c r="N518" s="5">
        <f t="shared" si="56"/>
        <v>0.66666666666666663</v>
      </c>
      <c r="O518" s="5">
        <f t="shared" si="57"/>
        <v>0.75</v>
      </c>
      <c r="P518" s="3">
        <f t="shared" si="58"/>
        <v>59045.666666666664</v>
      </c>
      <c r="Q518" s="6">
        <f t="shared" si="59"/>
        <v>2.0323252623675461</v>
      </c>
    </row>
    <row r="519" spans="1:17" x14ac:dyDescent="0.4">
      <c r="A519" s="2">
        <v>46045</v>
      </c>
      <c r="B519" s="1" t="s">
        <v>15</v>
      </c>
      <c r="C519" s="1" t="s">
        <v>6</v>
      </c>
      <c r="D519" s="1" t="s">
        <v>44</v>
      </c>
      <c r="E519" s="7">
        <v>354274</v>
      </c>
      <c r="F519" s="4">
        <v>9</v>
      </c>
      <c r="G519" s="4">
        <v>2</v>
      </c>
      <c r="H519" s="4">
        <v>2</v>
      </c>
      <c r="I519" s="4" t="s">
        <v>68</v>
      </c>
      <c r="J519" s="4" t="s">
        <v>68</v>
      </c>
      <c r="K519" s="4">
        <v>1</v>
      </c>
      <c r="L519" s="4">
        <v>20000</v>
      </c>
      <c r="M519" s="5">
        <f t="shared" si="55"/>
        <v>1</v>
      </c>
      <c r="N519" s="5">
        <f t="shared" si="56"/>
        <v>0.22222222222222221</v>
      </c>
      <c r="O519" s="5">
        <f t="shared" si="57"/>
        <v>0</v>
      </c>
      <c r="P519" s="3">
        <f t="shared" si="58"/>
        <v>177137</v>
      </c>
      <c r="Q519" s="6">
        <f t="shared" si="59"/>
        <v>0</v>
      </c>
    </row>
    <row r="520" spans="1:17" x14ac:dyDescent="0.4">
      <c r="A520" s="2">
        <v>46045</v>
      </c>
      <c r="B520" s="1" t="s">
        <v>10</v>
      </c>
      <c r="C520" s="1" t="s">
        <v>6</v>
      </c>
      <c r="D520" s="1" t="s">
        <v>33</v>
      </c>
      <c r="E520" s="7">
        <v>275546</v>
      </c>
      <c r="F520" s="4">
        <v>7</v>
      </c>
      <c r="G520" s="4">
        <v>2</v>
      </c>
      <c r="H520" s="4">
        <v>2</v>
      </c>
      <c r="I520" s="4">
        <v>1</v>
      </c>
      <c r="J520" s="4">
        <v>25000</v>
      </c>
      <c r="K520" s="4" t="s">
        <v>68</v>
      </c>
      <c r="L520" s="4" t="s">
        <v>68</v>
      </c>
      <c r="M520" s="5">
        <f t="shared" si="55"/>
        <v>1</v>
      </c>
      <c r="N520" s="5">
        <f t="shared" si="56"/>
        <v>0.2857142857142857</v>
      </c>
      <c r="O520" s="5">
        <f t="shared" si="57"/>
        <v>0.5</v>
      </c>
      <c r="P520" s="3">
        <f t="shared" si="58"/>
        <v>137773</v>
      </c>
      <c r="Q520" s="6">
        <f t="shared" si="59"/>
        <v>1.0887474323706388</v>
      </c>
    </row>
    <row r="521" spans="1:17" x14ac:dyDescent="0.4">
      <c r="A521" s="2">
        <v>46045</v>
      </c>
      <c r="B521" s="1" t="s">
        <v>74</v>
      </c>
      <c r="C521" s="1" t="s">
        <v>6</v>
      </c>
      <c r="D521" s="1" t="s">
        <v>71</v>
      </c>
      <c r="E521" s="7">
        <v>157455</v>
      </c>
      <c r="F521" s="4">
        <v>4</v>
      </c>
      <c r="G521" s="4" t="s">
        <v>68</v>
      </c>
      <c r="H521" s="4" t="s">
        <v>68</v>
      </c>
      <c r="I521" s="4" t="s">
        <v>68</v>
      </c>
      <c r="J521" s="4" t="s">
        <v>68</v>
      </c>
      <c r="K521" s="4" t="s">
        <v>68</v>
      </c>
      <c r="L521" s="4" t="s">
        <v>68</v>
      </c>
      <c r="M521" s="5">
        <f t="shared" si="55"/>
        <v>0</v>
      </c>
      <c r="N521" s="5">
        <f t="shared" si="56"/>
        <v>0</v>
      </c>
      <c r="O521" s="5">
        <f t="shared" si="57"/>
        <v>0</v>
      </c>
      <c r="P521" s="3">
        <f t="shared" si="58"/>
        <v>0</v>
      </c>
      <c r="Q521" s="6">
        <f t="shared" si="59"/>
        <v>0</v>
      </c>
    </row>
    <row r="522" spans="1:17" x14ac:dyDescent="0.4">
      <c r="A522" s="2">
        <v>46045</v>
      </c>
      <c r="B522" s="1" t="s">
        <v>75</v>
      </c>
      <c r="C522" s="1" t="s">
        <v>6</v>
      </c>
      <c r="D522" s="1" t="s">
        <v>72</v>
      </c>
      <c r="E522" s="7">
        <v>157455</v>
      </c>
      <c r="F522" s="4">
        <v>4</v>
      </c>
      <c r="G522" s="4">
        <v>3</v>
      </c>
      <c r="H522" s="4" t="s">
        <v>68</v>
      </c>
      <c r="I522" s="4" t="s">
        <v>68</v>
      </c>
      <c r="J522" s="4" t="s">
        <v>68</v>
      </c>
      <c r="K522" s="4" t="s">
        <v>68</v>
      </c>
      <c r="L522" s="4" t="s">
        <v>68</v>
      </c>
      <c r="M522" s="5">
        <f t="shared" si="55"/>
        <v>0</v>
      </c>
      <c r="N522" s="5">
        <f t="shared" si="56"/>
        <v>0.75</v>
      </c>
      <c r="O522" s="5">
        <f t="shared" si="57"/>
        <v>0</v>
      </c>
      <c r="P522" s="3">
        <f t="shared" si="58"/>
        <v>52485</v>
      </c>
      <c r="Q522" s="6">
        <f t="shared" si="59"/>
        <v>0</v>
      </c>
    </row>
    <row r="523" spans="1:17" x14ac:dyDescent="0.4">
      <c r="A523" s="2">
        <v>46045</v>
      </c>
      <c r="B523" s="1" t="s">
        <v>5</v>
      </c>
      <c r="C523" s="1" t="s">
        <v>6</v>
      </c>
      <c r="D523" s="1" t="s">
        <v>52</v>
      </c>
      <c r="E523" s="7">
        <v>275546</v>
      </c>
      <c r="F523" s="4">
        <v>7</v>
      </c>
      <c r="G523" s="4" t="s">
        <v>68</v>
      </c>
      <c r="H523" s="4" t="s">
        <v>68</v>
      </c>
      <c r="I523" s="4" t="s">
        <v>68</v>
      </c>
      <c r="J523" s="4" t="s">
        <v>68</v>
      </c>
      <c r="K523" s="4" t="s">
        <v>68</v>
      </c>
      <c r="L523" s="4" t="s">
        <v>68</v>
      </c>
      <c r="M523" s="5">
        <f t="shared" si="55"/>
        <v>0</v>
      </c>
      <c r="N523" s="5">
        <f t="shared" si="56"/>
        <v>0</v>
      </c>
      <c r="O523" s="5">
        <f t="shared" si="57"/>
        <v>0</v>
      </c>
      <c r="P523" s="3">
        <f t="shared" si="58"/>
        <v>0</v>
      </c>
      <c r="Q523" s="6">
        <f t="shared" si="59"/>
        <v>0</v>
      </c>
    </row>
    <row r="524" spans="1:17" x14ac:dyDescent="0.4">
      <c r="A524" s="2">
        <v>46045</v>
      </c>
      <c r="B524" s="1" t="s">
        <v>26</v>
      </c>
      <c r="C524" s="1" t="s">
        <v>36</v>
      </c>
      <c r="D524" s="1" t="s">
        <v>52</v>
      </c>
      <c r="E524" s="7">
        <v>0</v>
      </c>
      <c r="F524" s="4">
        <v>2</v>
      </c>
      <c r="G524" s="4"/>
      <c r="H524" s="4"/>
      <c r="I524" s="4"/>
      <c r="J524" s="4"/>
      <c r="K524" s="4"/>
      <c r="L524" s="4"/>
      <c r="M524" s="5">
        <f t="shared" si="55"/>
        <v>0</v>
      </c>
      <c r="N524" s="5">
        <f t="shared" si="56"/>
        <v>0</v>
      </c>
      <c r="O524" s="5">
        <f t="shared" si="57"/>
        <v>0</v>
      </c>
      <c r="P524" s="3">
        <f t="shared" si="58"/>
        <v>0</v>
      </c>
      <c r="Q524" s="6">
        <f t="shared" si="59"/>
        <v>0</v>
      </c>
    </row>
    <row r="525" spans="1:17" x14ac:dyDescent="0.4">
      <c r="A525" s="2">
        <v>46045</v>
      </c>
      <c r="B525" s="1" t="s">
        <v>51</v>
      </c>
      <c r="C525" s="1" t="s">
        <v>50</v>
      </c>
      <c r="D525" s="1" t="s">
        <v>54</v>
      </c>
      <c r="E525" s="7">
        <v>285714.28571428574</v>
      </c>
      <c r="F525" s="4">
        <v>4</v>
      </c>
      <c r="G525" s="4">
        <v>3</v>
      </c>
      <c r="H525" s="4">
        <v>2</v>
      </c>
      <c r="I525" s="4"/>
      <c r="J525" s="4"/>
      <c r="K525" s="4"/>
      <c r="L525" s="4"/>
      <c r="M525" s="5">
        <f t="shared" si="55"/>
        <v>0.66666666666666663</v>
      </c>
      <c r="N525" s="5">
        <f t="shared" si="56"/>
        <v>0.75</v>
      </c>
      <c r="O525" s="5">
        <f t="shared" si="57"/>
        <v>0</v>
      </c>
      <c r="P525" s="3">
        <f t="shared" si="58"/>
        <v>95238.095238095251</v>
      </c>
      <c r="Q525" s="6">
        <f t="shared" si="59"/>
        <v>0</v>
      </c>
    </row>
    <row r="526" spans="1:17" x14ac:dyDescent="0.4">
      <c r="A526" s="2">
        <v>46045</v>
      </c>
      <c r="B526" s="1" t="s">
        <v>16</v>
      </c>
      <c r="C526" s="1" t="s">
        <v>58</v>
      </c>
      <c r="D526" s="1" t="s">
        <v>53</v>
      </c>
      <c r="E526" s="7">
        <v>0</v>
      </c>
      <c r="F526" s="4">
        <v>0</v>
      </c>
      <c r="G526" s="4">
        <v>1</v>
      </c>
      <c r="H526" s="4"/>
      <c r="I526" s="4">
        <v>1</v>
      </c>
      <c r="J526" s="4">
        <v>30000</v>
      </c>
      <c r="K526" s="4"/>
      <c r="L526" s="4"/>
      <c r="M526" s="5">
        <f t="shared" si="55"/>
        <v>0</v>
      </c>
      <c r="N526" s="5">
        <f t="shared" si="56"/>
        <v>0</v>
      </c>
      <c r="O526" s="5">
        <f t="shared" si="57"/>
        <v>0</v>
      </c>
      <c r="P526" s="3">
        <f t="shared" si="58"/>
        <v>0</v>
      </c>
      <c r="Q526" s="6">
        <f t="shared" si="59"/>
        <v>0</v>
      </c>
    </row>
    <row r="527" spans="1:17" x14ac:dyDescent="0.4">
      <c r="A527" s="2">
        <v>46045</v>
      </c>
      <c r="B527" s="1" t="s">
        <v>19</v>
      </c>
      <c r="C527" s="1" t="s">
        <v>20</v>
      </c>
      <c r="D527" s="1" t="s">
        <v>34</v>
      </c>
      <c r="E527" s="7">
        <v>195035.46099290781</v>
      </c>
      <c r="F527" s="4">
        <v>4</v>
      </c>
      <c r="G527" s="4">
        <v>5</v>
      </c>
      <c r="H527" s="4">
        <v>4</v>
      </c>
      <c r="I527" s="4">
        <v>2</v>
      </c>
      <c r="J527" s="4">
        <v>50000</v>
      </c>
      <c r="K527" s="4">
        <v>1</v>
      </c>
      <c r="L527" s="4">
        <v>30000</v>
      </c>
      <c r="M527" s="5">
        <f t="shared" si="55"/>
        <v>0.8</v>
      </c>
      <c r="N527" s="5">
        <f t="shared" si="56"/>
        <v>1.25</v>
      </c>
      <c r="O527" s="5">
        <f t="shared" si="57"/>
        <v>0.5</v>
      </c>
      <c r="P527" s="3">
        <f t="shared" si="58"/>
        <v>39007.092198581566</v>
      </c>
      <c r="Q527" s="6">
        <f t="shared" si="59"/>
        <v>3.0763636363636362</v>
      </c>
    </row>
    <row r="528" spans="1:17" x14ac:dyDescent="0.4">
      <c r="A528" s="2">
        <v>46045</v>
      </c>
      <c r="B528" s="1" t="s">
        <v>23</v>
      </c>
      <c r="C528" s="1" t="s">
        <v>37</v>
      </c>
      <c r="D528" s="1" t="s">
        <v>32</v>
      </c>
      <c r="E528" s="7">
        <v>0</v>
      </c>
      <c r="F528" s="4">
        <v>7</v>
      </c>
      <c r="G528" s="4"/>
      <c r="H528" s="4"/>
      <c r="I528" s="4"/>
      <c r="J528" s="4"/>
      <c r="K528" s="4"/>
      <c r="L528" s="4"/>
      <c r="M528" s="5">
        <f t="shared" si="55"/>
        <v>0</v>
      </c>
      <c r="N528" s="5">
        <f t="shared" si="56"/>
        <v>0</v>
      </c>
      <c r="O528" s="5">
        <f t="shared" si="57"/>
        <v>0</v>
      </c>
      <c r="P528" s="3">
        <f t="shared" si="58"/>
        <v>0</v>
      </c>
      <c r="Q528" s="6">
        <f t="shared" si="59"/>
        <v>0</v>
      </c>
    </row>
    <row r="529" spans="1:17" x14ac:dyDescent="0.4">
      <c r="A529" s="2">
        <v>46045</v>
      </c>
      <c r="B529" s="1" t="s">
        <v>21</v>
      </c>
      <c r="C529" s="1" t="s">
        <v>22</v>
      </c>
      <c r="D529" s="1" t="s">
        <v>32</v>
      </c>
      <c r="E529" s="7">
        <v>283870.96774193551</v>
      </c>
      <c r="F529" s="4">
        <v>9</v>
      </c>
      <c r="G529" s="4">
        <v>1</v>
      </c>
      <c r="H529" s="4">
        <v>1</v>
      </c>
      <c r="I529" s="4"/>
      <c r="J529" s="4"/>
      <c r="K529" s="4"/>
      <c r="L529" s="4"/>
      <c r="M529" s="5">
        <f t="shared" si="55"/>
        <v>1</v>
      </c>
      <c r="N529" s="5">
        <f t="shared" si="56"/>
        <v>0.1111111111111111</v>
      </c>
      <c r="O529" s="5">
        <f t="shared" si="57"/>
        <v>0</v>
      </c>
      <c r="P529" s="3">
        <f t="shared" si="58"/>
        <v>283870.96774193551</v>
      </c>
      <c r="Q529" s="6">
        <f t="shared" si="59"/>
        <v>0</v>
      </c>
    </row>
    <row r="530" spans="1:17" x14ac:dyDescent="0.4">
      <c r="A530" s="2">
        <v>46045</v>
      </c>
      <c r="B530" s="1" t="s">
        <v>61</v>
      </c>
      <c r="C530" s="1" t="s">
        <v>64</v>
      </c>
      <c r="D530" s="1" t="s">
        <v>66</v>
      </c>
      <c r="E530" s="7">
        <v>0</v>
      </c>
      <c r="F530" s="4">
        <v>0</v>
      </c>
      <c r="G530" s="4"/>
      <c r="H530" s="4"/>
      <c r="I530" s="4"/>
      <c r="J530" s="4"/>
      <c r="K530" s="4"/>
      <c r="L530" s="4"/>
      <c r="M530" s="5">
        <f t="shared" si="55"/>
        <v>0</v>
      </c>
      <c r="N530" s="5">
        <f t="shared" si="56"/>
        <v>0</v>
      </c>
      <c r="O530" s="5">
        <f t="shared" si="57"/>
        <v>0</v>
      </c>
      <c r="P530" s="3">
        <f t="shared" si="58"/>
        <v>0</v>
      </c>
      <c r="Q530" s="6">
        <f t="shared" si="59"/>
        <v>0</v>
      </c>
    </row>
    <row r="531" spans="1:17" x14ac:dyDescent="0.4">
      <c r="A531" s="2">
        <v>46045</v>
      </c>
      <c r="B531" s="1" t="s">
        <v>62</v>
      </c>
      <c r="C531" s="1" t="s">
        <v>65</v>
      </c>
      <c r="D531" s="1" t="s">
        <v>67</v>
      </c>
      <c r="E531" s="7">
        <v>0</v>
      </c>
      <c r="F531" s="4">
        <v>0</v>
      </c>
      <c r="G531" s="4">
        <v>1</v>
      </c>
      <c r="H531" s="4"/>
      <c r="I531" s="4"/>
      <c r="J531" s="4"/>
      <c r="K531" s="4"/>
      <c r="L531" s="4"/>
      <c r="M531" s="5">
        <f t="shared" si="55"/>
        <v>0</v>
      </c>
      <c r="N531" s="5">
        <f t="shared" si="56"/>
        <v>0</v>
      </c>
      <c r="O531" s="5">
        <f t="shared" si="57"/>
        <v>0</v>
      </c>
      <c r="P531" s="3">
        <f t="shared" si="58"/>
        <v>0</v>
      </c>
      <c r="Q531" s="6">
        <f t="shared" si="59"/>
        <v>0</v>
      </c>
    </row>
    <row r="532" spans="1:17" x14ac:dyDescent="0.4">
      <c r="A532" s="2">
        <v>46045</v>
      </c>
      <c r="B532" s="1" t="s">
        <v>42</v>
      </c>
      <c r="C532" s="1" t="s">
        <v>38</v>
      </c>
      <c r="D532" s="1" t="s">
        <v>42</v>
      </c>
      <c r="E532" s="7">
        <v>0</v>
      </c>
      <c r="F532" s="4">
        <v>0</v>
      </c>
      <c r="G532" s="4"/>
      <c r="H532" s="4"/>
      <c r="I532" s="4"/>
      <c r="J532" s="4"/>
      <c r="K532" s="4"/>
      <c r="L532" s="4"/>
      <c r="M532" s="5">
        <f t="shared" si="55"/>
        <v>0</v>
      </c>
      <c r="N532" s="5">
        <f t="shared" si="56"/>
        <v>0</v>
      </c>
      <c r="O532" s="5">
        <f t="shared" si="57"/>
        <v>0</v>
      </c>
      <c r="P532" s="3">
        <f t="shared" si="58"/>
        <v>0</v>
      </c>
      <c r="Q532" s="6">
        <f t="shared" si="59"/>
        <v>0</v>
      </c>
    </row>
    <row r="533" spans="1:17" x14ac:dyDescent="0.4">
      <c r="A533" s="2">
        <v>46045</v>
      </c>
      <c r="B533" s="1" t="s">
        <v>7</v>
      </c>
      <c r="C533" s="1" t="s">
        <v>8</v>
      </c>
      <c r="D533" s="1" t="s">
        <v>42</v>
      </c>
      <c r="E533" s="7">
        <v>0</v>
      </c>
      <c r="F533" s="4">
        <v>0</v>
      </c>
      <c r="G533" s="3">
        <v>6</v>
      </c>
      <c r="H533" s="3">
        <v>2</v>
      </c>
      <c r="I533" s="3"/>
      <c r="J533" s="3"/>
      <c r="K533" s="3"/>
      <c r="L533" s="3"/>
      <c r="M533" s="5">
        <f t="shared" si="55"/>
        <v>0.33333333333333331</v>
      </c>
      <c r="N533" s="5">
        <f t="shared" si="56"/>
        <v>0</v>
      </c>
      <c r="O533" s="5">
        <f t="shared" si="57"/>
        <v>0</v>
      </c>
      <c r="P533" s="3">
        <f t="shared" si="58"/>
        <v>0</v>
      </c>
      <c r="Q533" s="6">
        <f t="shared" si="59"/>
        <v>0</v>
      </c>
    </row>
    <row r="534" spans="1:17" x14ac:dyDescent="0.4">
      <c r="A534" s="2">
        <v>46046</v>
      </c>
      <c r="B534" s="1" t="s">
        <v>13</v>
      </c>
      <c r="C534" s="1" t="s">
        <v>14</v>
      </c>
      <c r="D534" s="1" t="s">
        <v>31</v>
      </c>
      <c r="E534" s="7">
        <v>1223609.5346197519</v>
      </c>
      <c r="F534" s="4">
        <v>2</v>
      </c>
      <c r="G534" s="4">
        <v>5</v>
      </c>
      <c r="H534" s="4">
        <v>3</v>
      </c>
      <c r="I534" s="4">
        <v>2</v>
      </c>
      <c r="J534" s="4">
        <v>80000</v>
      </c>
      <c r="K534" s="4">
        <v>1</v>
      </c>
      <c r="L534" s="4">
        <v>20000</v>
      </c>
      <c r="M534" s="5">
        <f t="shared" si="55"/>
        <v>0.6</v>
      </c>
      <c r="N534" s="5">
        <f t="shared" si="56"/>
        <v>2.5</v>
      </c>
      <c r="O534" s="5">
        <f t="shared" si="57"/>
        <v>0.66666666666666663</v>
      </c>
      <c r="P534" s="3">
        <f t="shared" si="58"/>
        <v>244721.90692395036</v>
      </c>
      <c r="Q534" s="6">
        <f t="shared" si="59"/>
        <v>0.78456400742114929</v>
      </c>
    </row>
    <row r="535" spans="1:17" x14ac:dyDescent="0.4">
      <c r="A535" s="2">
        <v>46046</v>
      </c>
      <c r="B535" s="1" t="s">
        <v>11</v>
      </c>
      <c r="C535" s="1" t="s">
        <v>12</v>
      </c>
      <c r="D535" s="1" t="s">
        <v>32</v>
      </c>
      <c r="E535" s="7">
        <v>124060.15037593986</v>
      </c>
      <c r="F535" s="4">
        <v>3</v>
      </c>
      <c r="G535" s="4"/>
      <c r="H535" s="4"/>
      <c r="I535" s="4"/>
      <c r="J535" s="4"/>
      <c r="K535" s="4"/>
      <c r="L535" s="4"/>
      <c r="M535" s="5">
        <f t="shared" si="55"/>
        <v>0</v>
      </c>
      <c r="N535" s="5">
        <f t="shared" si="56"/>
        <v>0</v>
      </c>
      <c r="O535" s="5">
        <f t="shared" si="57"/>
        <v>0</v>
      </c>
      <c r="P535" s="3">
        <f t="shared" si="58"/>
        <v>0</v>
      </c>
      <c r="Q535" s="6">
        <f t="shared" si="59"/>
        <v>0</v>
      </c>
    </row>
    <row r="536" spans="1:17" x14ac:dyDescent="0.4">
      <c r="A536" s="2">
        <v>46046</v>
      </c>
      <c r="B536" s="1" t="s">
        <v>17</v>
      </c>
      <c r="C536" s="1" t="s">
        <v>18</v>
      </c>
      <c r="D536" s="1" t="s">
        <v>59</v>
      </c>
      <c r="E536" s="7">
        <v>177419.35483870967</v>
      </c>
      <c r="F536" s="4">
        <v>4</v>
      </c>
      <c r="G536" s="4">
        <v>1</v>
      </c>
      <c r="H536" s="4"/>
      <c r="I536" s="4"/>
      <c r="J536" s="4"/>
      <c r="K536" s="4"/>
      <c r="L536" s="4"/>
      <c r="M536" s="5">
        <f t="shared" si="55"/>
        <v>0</v>
      </c>
      <c r="N536" s="5">
        <f t="shared" si="56"/>
        <v>0.25</v>
      </c>
      <c r="O536" s="5">
        <f t="shared" si="57"/>
        <v>0</v>
      </c>
      <c r="P536" s="3">
        <f t="shared" si="58"/>
        <v>177419.35483870967</v>
      </c>
      <c r="Q536" s="6">
        <f t="shared" si="59"/>
        <v>0</v>
      </c>
    </row>
    <row r="537" spans="1:17" x14ac:dyDescent="0.4">
      <c r="A537" s="2">
        <v>46046</v>
      </c>
      <c r="B537" s="1" t="s">
        <v>25</v>
      </c>
      <c r="C537" s="1" t="s">
        <v>35</v>
      </c>
      <c r="D537" s="1" t="s">
        <v>32</v>
      </c>
      <c r="E537" s="7">
        <v>0</v>
      </c>
      <c r="F537" s="4">
        <v>4</v>
      </c>
      <c r="G537" s="4"/>
      <c r="H537" s="4"/>
      <c r="I537" s="4"/>
      <c r="J537" s="4"/>
      <c r="K537" s="4"/>
      <c r="L537" s="4"/>
      <c r="M537" s="5">
        <f t="shared" si="55"/>
        <v>0</v>
      </c>
      <c r="N537" s="5">
        <f t="shared" si="56"/>
        <v>0</v>
      </c>
      <c r="O537" s="5">
        <f t="shared" si="57"/>
        <v>0</v>
      </c>
      <c r="P537" s="3">
        <f t="shared" si="58"/>
        <v>0</v>
      </c>
      <c r="Q537" s="6">
        <f t="shared" si="59"/>
        <v>0</v>
      </c>
    </row>
    <row r="538" spans="1:17" x14ac:dyDescent="0.4">
      <c r="A538" s="2">
        <v>46046</v>
      </c>
      <c r="B538" s="1" t="s">
        <v>24</v>
      </c>
      <c r="C538" s="1" t="s">
        <v>6</v>
      </c>
      <c r="D538" s="1" t="s">
        <v>69</v>
      </c>
      <c r="E538" s="7">
        <v>227451</v>
      </c>
      <c r="F538" s="4">
        <v>5</v>
      </c>
      <c r="G538" s="4">
        <v>2</v>
      </c>
      <c r="H538" s="4">
        <v>1</v>
      </c>
      <c r="I538" s="4">
        <v>1</v>
      </c>
      <c r="J538" s="4">
        <v>30000</v>
      </c>
      <c r="K538" s="4" t="s">
        <v>68</v>
      </c>
      <c r="L538" s="4" t="s">
        <v>68</v>
      </c>
      <c r="M538" s="5">
        <f t="shared" si="55"/>
        <v>0.5</v>
      </c>
      <c r="N538" s="5">
        <f t="shared" si="56"/>
        <v>0.4</v>
      </c>
      <c r="O538" s="5">
        <f t="shared" si="57"/>
        <v>1</v>
      </c>
      <c r="P538" s="3">
        <f t="shared" si="58"/>
        <v>113725.5</v>
      </c>
      <c r="Q538" s="6">
        <f t="shared" si="59"/>
        <v>1.5827584842449582</v>
      </c>
    </row>
    <row r="539" spans="1:17" x14ac:dyDescent="0.4">
      <c r="A539" s="2">
        <v>46046</v>
      </c>
      <c r="B539" s="1" t="s">
        <v>9</v>
      </c>
      <c r="C539" s="1" t="s">
        <v>6</v>
      </c>
      <c r="D539" s="1" t="s">
        <v>70</v>
      </c>
      <c r="E539" s="7">
        <v>409411</v>
      </c>
      <c r="F539" s="4">
        <v>9</v>
      </c>
      <c r="G539" s="4">
        <v>5</v>
      </c>
      <c r="H539" s="4">
        <v>2</v>
      </c>
      <c r="I539" s="4" t="s">
        <v>68</v>
      </c>
      <c r="J539" s="4" t="s">
        <v>68</v>
      </c>
      <c r="K539" s="4">
        <v>1</v>
      </c>
      <c r="L539" s="4">
        <v>20000</v>
      </c>
      <c r="M539" s="5">
        <f t="shared" si="55"/>
        <v>0.4</v>
      </c>
      <c r="N539" s="5">
        <f t="shared" si="56"/>
        <v>0.55555555555555558</v>
      </c>
      <c r="O539" s="5">
        <f t="shared" si="57"/>
        <v>0</v>
      </c>
      <c r="P539" s="3">
        <f t="shared" si="58"/>
        <v>81882.2</v>
      </c>
      <c r="Q539" s="6">
        <f t="shared" si="59"/>
        <v>0</v>
      </c>
    </row>
    <row r="540" spans="1:17" x14ac:dyDescent="0.4">
      <c r="A540" s="2">
        <v>46046</v>
      </c>
      <c r="B540" s="1" t="s">
        <v>15</v>
      </c>
      <c r="C540" s="1" t="s">
        <v>6</v>
      </c>
      <c r="D540" s="1" t="s">
        <v>44</v>
      </c>
      <c r="E540" s="7">
        <v>409411</v>
      </c>
      <c r="F540" s="4">
        <v>9</v>
      </c>
      <c r="G540" s="4">
        <v>5</v>
      </c>
      <c r="H540" s="4">
        <v>5</v>
      </c>
      <c r="I540" s="4">
        <v>3</v>
      </c>
      <c r="J540" s="4">
        <v>60000</v>
      </c>
      <c r="K540" s="4" t="s">
        <v>68</v>
      </c>
      <c r="L540" s="4" t="s">
        <v>68</v>
      </c>
      <c r="M540" s="5">
        <f t="shared" si="55"/>
        <v>1</v>
      </c>
      <c r="N540" s="5">
        <f t="shared" si="56"/>
        <v>0.55555555555555558</v>
      </c>
      <c r="O540" s="5">
        <f t="shared" si="57"/>
        <v>0.6</v>
      </c>
      <c r="P540" s="3">
        <f t="shared" si="58"/>
        <v>81882.2</v>
      </c>
      <c r="Q540" s="6">
        <f t="shared" si="59"/>
        <v>1.7586239744413317</v>
      </c>
    </row>
    <row r="541" spans="1:17" x14ac:dyDescent="0.4">
      <c r="A541" s="2">
        <v>46046</v>
      </c>
      <c r="B541" s="1" t="s">
        <v>10</v>
      </c>
      <c r="C541" s="1" t="s">
        <v>6</v>
      </c>
      <c r="D541" s="1" t="s">
        <v>33</v>
      </c>
      <c r="E541" s="7">
        <v>318431</v>
      </c>
      <c r="F541" s="4">
        <v>7</v>
      </c>
      <c r="G541" s="4">
        <v>3</v>
      </c>
      <c r="H541" s="4">
        <v>2</v>
      </c>
      <c r="I541" s="4">
        <v>2</v>
      </c>
      <c r="J541" s="4">
        <v>50000</v>
      </c>
      <c r="K541" s="4" t="s">
        <v>68</v>
      </c>
      <c r="L541" s="4" t="s">
        <v>68</v>
      </c>
      <c r="M541" s="5">
        <f t="shared" si="55"/>
        <v>0.66666666666666663</v>
      </c>
      <c r="N541" s="5">
        <f t="shared" si="56"/>
        <v>0.42857142857142855</v>
      </c>
      <c r="O541" s="5">
        <f t="shared" si="57"/>
        <v>1</v>
      </c>
      <c r="P541" s="3">
        <f t="shared" si="58"/>
        <v>106143.66666666667</v>
      </c>
      <c r="Q541" s="6">
        <f t="shared" si="59"/>
        <v>1.8842386576683803</v>
      </c>
    </row>
    <row r="542" spans="1:17" x14ac:dyDescent="0.4">
      <c r="A542" s="2">
        <v>46046</v>
      </c>
      <c r="B542" s="1" t="s">
        <v>74</v>
      </c>
      <c r="C542" s="1" t="s">
        <v>6</v>
      </c>
      <c r="D542" s="1" t="s">
        <v>71</v>
      </c>
      <c r="E542" s="7">
        <v>181960</v>
      </c>
      <c r="F542" s="4">
        <v>4</v>
      </c>
      <c r="G542" s="4">
        <v>1</v>
      </c>
      <c r="H542" s="4">
        <v>1</v>
      </c>
      <c r="I542" s="4">
        <v>1</v>
      </c>
      <c r="J542" s="4">
        <v>20000</v>
      </c>
      <c r="K542" s="4" t="s">
        <v>68</v>
      </c>
      <c r="L542" s="4" t="s">
        <v>68</v>
      </c>
      <c r="M542" s="5">
        <f t="shared" si="55"/>
        <v>1</v>
      </c>
      <c r="N542" s="5">
        <f t="shared" si="56"/>
        <v>0.25</v>
      </c>
      <c r="O542" s="5">
        <f t="shared" si="57"/>
        <v>1</v>
      </c>
      <c r="P542" s="3">
        <f t="shared" si="58"/>
        <v>181960</v>
      </c>
      <c r="Q542" s="6">
        <f t="shared" si="59"/>
        <v>1.3189712024620797</v>
      </c>
    </row>
    <row r="543" spans="1:17" x14ac:dyDescent="0.4">
      <c r="A543" s="2">
        <v>46046</v>
      </c>
      <c r="B543" s="1" t="s">
        <v>75</v>
      </c>
      <c r="C543" s="1" t="s">
        <v>6</v>
      </c>
      <c r="D543" s="1" t="s">
        <v>72</v>
      </c>
      <c r="E543" s="7">
        <v>227451</v>
      </c>
      <c r="F543" s="4">
        <v>5</v>
      </c>
      <c r="G543" s="4">
        <v>3</v>
      </c>
      <c r="H543" s="4">
        <v>2</v>
      </c>
      <c r="I543" s="4">
        <v>1</v>
      </c>
      <c r="J543" s="4">
        <v>20000</v>
      </c>
      <c r="K543" s="4" t="s">
        <v>68</v>
      </c>
      <c r="L543" s="4" t="s">
        <v>68</v>
      </c>
      <c r="M543" s="5">
        <f t="shared" si="55"/>
        <v>0.66666666666666663</v>
      </c>
      <c r="N543" s="5">
        <f t="shared" si="56"/>
        <v>0.6</v>
      </c>
      <c r="O543" s="5">
        <f t="shared" si="57"/>
        <v>0.5</v>
      </c>
      <c r="P543" s="3">
        <f t="shared" si="58"/>
        <v>75817</v>
      </c>
      <c r="Q543" s="6">
        <f t="shared" si="59"/>
        <v>1.0551723228299721</v>
      </c>
    </row>
    <row r="544" spans="1:17" x14ac:dyDescent="0.4">
      <c r="A544" s="2">
        <v>46046</v>
      </c>
      <c r="B544" s="1" t="s">
        <v>5</v>
      </c>
      <c r="C544" s="1" t="s">
        <v>6</v>
      </c>
      <c r="D544" s="1" t="s">
        <v>52</v>
      </c>
      <c r="E544" s="7">
        <v>318431</v>
      </c>
      <c r="F544" s="4">
        <v>7</v>
      </c>
      <c r="G544" s="4">
        <v>2</v>
      </c>
      <c r="H544" s="4">
        <v>1</v>
      </c>
      <c r="I544" s="4">
        <v>1</v>
      </c>
      <c r="J544" s="4">
        <v>20000</v>
      </c>
      <c r="K544" s="4" t="s">
        <v>68</v>
      </c>
      <c r="L544" s="4" t="s">
        <v>68</v>
      </c>
      <c r="M544" s="5">
        <f t="shared" si="55"/>
        <v>0.5</v>
      </c>
      <c r="N544" s="5">
        <f t="shared" si="56"/>
        <v>0.2857142857142857</v>
      </c>
      <c r="O544" s="5">
        <f t="shared" si="57"/>
        <v>1</v>
      </c>
      <c r="P544" s="3">
        <f t="shared" si="58"/>
        <v>159215.5</v>
      </c>
      <c r="Q544" s="6">
        <f t="shared" si="59"/>
        <v>0.75369546306735213</v>
      </c>
    </row>
    <row r="545" spans="1:17" x14ac:dyDescent="0.4">
      <c r="A545" s="2">
        <v>46046</v>
      </c>
      <c r="B545" s="1" t="s">
        <v>26</v>
      </c>
      <c r="C545" s="1" t="s">
        <v>36</v>
      </c>
      <c r="D545" s="1" t="s">
        <v>52</v>
      </c>
      <c r="E545" s="7">
        <v>0</v>
      </c>
      <c r="F545" s="4">
        <v>2</v>
      </c>
      <c r="G545" s="4">
        <v>1</v>
      </c>
      <c r="H545" s="4">
        <v>1</v>
      </c>
      <c r="I545" s="4"/>
      <c r="J545" s="4"/>
      <c r="K545" s="4"/>
      <c r="L545" s="4"/>
      <c r="M545" s="5">
        <f t="shared" si="55"/>
        <v>1</v>
      </c>
      <c r="N545" s="5">
        <f t="shared" si="56"/>
        <v>0.5</v>
      </c>
      <c r="O545" s="5">
        <f t="shared" si="57"/>
        <v>0</v>
      </c>
      <c r="P545" s="3">
        <f t="shared" si="58"/>
        <v>0</v>
      </c>
      <c r="Q545" s="6">
        <f t="shared" si="59"/>
        <v>0</v>
      </c>
    </row>
    <row r="546" spans="1:17" x14ac:dyDescent="0.4">
      <c r="A546" s="2">
        <v>46046</v>
      </c>
      <c r="B546" s="1" t="s">
        <v>51</v>
      </c>
      <c r="C546" s="1" t="s">
        <v>50</v>
      </c>
      <c r="D546" s="1" t="s">
        <v>54</v>
      </c>
      <c r="E546" s="7">
        <v>285714.28571428574</v>
      </c>
      <c r="F546" s="4">
        <v>4</v>
      </c>
      <c r="G546" s="4">
        <v>3</v>
      </c>
      <c r="H546" s="4">
        <v>2</v>
      </c>
      <c r="I546" s="4">
        <v>1</v>
      </c>
      <c r="J546" s="4">
        <v>20000</v>
      </c>
      <c r="K546" s="4"/>
      <c r="L546" s="4"/>
      <c r="M546" s="5">
        <f t="shared" si="55"/>
        <v>0.66666666666666663</v>
      </c>
      <c r="N546" s="5">
        <f t="shared" si="56"/>
        <v>0.75</v>
      </c>
      <c r="O546" s="5">
        <f t="shared" si="57"/>
        <v>0.5</v>
      </c>
      <c r="P546" s="3">
        <f t="shared" si="58"/>
        <v>95238.095238095251</v>
      </c>
      <c r="Q546" s="6">
        <f t="shared" si="59"/>
        <v>0.84</v>
      </c>
    </row>
    <row r="547" spans="1:17" x14ac:dyDescent="0.4">
      <c r="A547" s="2">
        <v>46046</v>
      </c>
      <c r="B547" s="1" t="s">
        <v>19</v>
      </c>
      <c r="C547" s="1" t="s">
        <v>20</v>
      </c>
      <c r="D547" s="1" t="s">
        <v>34</v>
      </c>
      <c r="E547" s="7">
        <v>187234.04255319148</v>
      </c>
      <c r="F547" s="4">
        <v>4</v>
      </c>
      <c r="G547" s="4">
        <v>2</v>
      </c>
      <c r="H547" s="4">
        <v>2</v>
      </c>
      <c r="I547" s="4"/>
      <c r="J547" s="4"/>
      <c r="K547" s="4"/>
      <c r="L547" s="4"/>
      <c r="M547" s="5">
        <f t="shared" si="55"/>
        <v>1</v>
      </c>
      <c r="N547" s="5">
        <f t="shared" si="56"/>
        <v>0.5</v>
      </c>
      <c r="O547" s="5">
        <f t="shared" si="57"/>
        <v>0</v>
      </c>
      <c r="P547" s="3">
        <f t="shared" si="58"/>
        <v>93617.02127659574</v>
      </c>
      <c r="Q547" s="6">
        <f t="shared" si="59"/>
        <v>0</v>
      </c>
    </row>
    <row r="548" spans="1:17" x14ac:dyDescent="0.4">
      <c r="A548" s="2">
        <v>46046</v>
      </c>
      <c r="B548" s="1" t="s">
        <v>23</v>
      </c>
      <c r="C548" s="1" t="s">
        <v>37</v>
      </c>
      <c r="D548" s="1" t="s">
        <v>32</v>
      </c>
      <c r="E548" s="7">
        <v>0</v>
      </c>
      <c r="F548" s="4">
        <v>6</v>
      </c>
      <c r="G548" s="4"/>
      <c r="H548" s="4"/>
      <c r="I548" s="4"/>
      <c r="J548" s="4"/>
      <c r="K548" s="4"/>
      <c r="L548" s="4"/>
      <c r="M548" s="5">
        <f t="shared" si="55"/>
        <v>0</v>
      </c>
      <c r="N548" s="5">
        <f t="shared" si="56"/>
        <v>0</v>
      </c>
      <c r="O548" s="5">
        <f t="shared" si="57"/>
        <v>0</v>
      </c>
      <c r="P548" s="3">
        <f t="shared" si="58"/>
        <v>0</v>
      </c>
      <c r="Q548" s="6">
        <f t="shared" si="59"/>
        <v>0</v>
      </c>
    </row>
    <row r="549" spans="1:17" x14ac:dyDescent="0.4">
      <c r="A549" s="2">
        <v>46046</v>
      </c>
      <c r="B549" s="1" t="s">
        <v>21</v>
      </c>
      <c r="C549" s="1" t="s">
        <v>22</v>
      </c>
      <c r="D549" s="1" t="s">
        <v>32</v>
      </c>
      <c r="E549" s="7">
        <v>283870.96774193551</v>
      </c>
      <c r="F549" s="4">
        <v>9</v>
      </c>
      <c r="G549" s="4">
        <v>2</v>
      </c>
      <c r="H549" s="4">
        <v>2</v>
      </c>
      <c r="I549" s="4">
        <v>1</v>
      </c>
      <c r="J549" s="4">
        <v>10000</v>
      </c>
      <c r="K549" s="4"/>
      <c r="L549" s="4"/>
      <c r="M549" s="5">
        <f t="shared" si="55"/>
        <v>1</v>
      </c>
      <c r="N549" s="5">
        <f t="shared" si="56"/>
        <v>0.22222222222222221</v>
      </c>
      <c r="O549" s="5">
        <f t="shared" si="57"/>
        <v>0.5</v>
      </c>
      <c r="P549" s="3">
        <f t="shared" si="58"/>
        <v>141935.48387096776</v>
      </c>
      <c r="Q549" s="6">
        <f t="shared" si="59"/>
        <v>0.42272727272727267</v>
      </c>
    </row>
    <row r="550" spans="1:17" x14ac:dyDescent="0.4">
      <c r="A550" s="2">
        <v>46046</v>
      </c>
      <c r="B550" s="1" t="s">
        <v>61</v>
      </c>
      <c r="C550" s="1" t="s">
        <v>64</v>
      </c>
      <c r="D550" s="1" t="s">
        <v>66</v>
      </c>
      <c r="E550" s="7">
        <v>0</v>
      </c>
      <c r="F550" s="4">
        <v>0</v>
      </c>
      <c r="G550" s="4"/>
      <c r="H550" s="4"/>
      <c r="I550" s="4"/>
      <c r="J550" s="4"/>
      <c r="K550" s="4"/>
      <c r="L550" s="4"/>
      <c r="M550" s="5">
        <f t="shared" si="55"/>
        <v>0</v>
      </c>
      <c r="N550" s="5">
        <f t="shared" si="56"/>
        <v>0</v>
      </c>
      <c r="O550" s="5">
        <f t="shared" si="57"/>
        <v>0</v>
      </c>
      <c r="P550" s="3">
        <f t="shared" si="58"/>
        <v>0</v>
      </c>
      <c r="Q550" s="6">
        <f t="shared" si="59"/>
        <v>0</v>
      </c>
    </row>
    <row r="551" spans="1:17" x14ac:dyDescent="0.4">
      <c r="A551" s="2">
        <v>46046</v>
      </c>
      <c r="B551" s="1" t="s">
        <v>42</v>
      </c>
      <c r="C551" s="1" t="s">
        <v>38</v>
      </c>
      <c r="D551" s="1" t="s">
        <v>42</v>
      </c>
      <c r="E551" s="7">
        <v>0</v>
      </c>
      <c r="F551" s="4">
        <v>0</v>
      </c>
      <c r="G551" s="4"/>
      <c r="H551" s="4"/>
      <c r="I551" s="4"/>
      <c r="J551" s="4"/>
      <c r="K551" s="4"/>
      <c r="L551" s="4"/>
      <c r="M551" s="5">
        <f t="shared" si="55"/>
        <v>0</v>
      </c>
      <c r="N551" s="5">
        <f t="shared" si="56"/>
        <v>0</v>
      </c>
      <c r="O551" s="5">
        <f t="shared" si="57"/>
        <v>0</v>
      </c>
      <c r="P551" s="3">
        <f t="shared" si="58"/>
        <v>0</v>
      </c>
      <c r="Q551" s="6">
        <f t="shared" si="59"/>
        <v>0</v>
      </c>
    </row>
    <row r="552" spans="1:17" x14ac:dyDescent="0.4">
      <c r="A552" s="2">
        <v>46046</v>
      </c>
      <c r="B552" s="1" t="s">
        <v>7</v>
      </c>
      <c r="C552" s="1" t="s">
        <v>8</v>
      </c>
      <c r="D552" s="1" t="s">
        <v>42</v>
      </c>
      <c r="E552" s="7">
        <v>0</v>
      </c>
      <c r="F552" s="4">
        <v>0</v>
      </c>
      <c r="G552" s="3"/>
      <c r="H552" s="3"/>
      <c r="I552" s="3"/>
      <c r="J552" s="3"/>
      <c r="K552" s="3"/>
      <c r="L552" s="3"/>
      <c r="M552" s="5">
        <f t="shared" si="55"/>
        <v>0</v>
      </c>
      <c r="N552" s="5">
        <f t="shared" si="56"/>
        <v>0</v>
      </c>
      <c r="O552" s="5">
        <f t="shared" si="57"/>
        <v>0</v>
      </c>
      <c r="P552" s="3">
        <f t="shared" si="58"/>
        <v>0</v>
      </c>
      <c r="Q552" s="6">
        <f t="shared" si="59"/>
        <v>0</v>
      </c>
    </row>
    <row r="553" spans="1:17" x14ac:dyDescent="0.4">
      <c r="A553" s="2">
        <v>46047</v>
      </c>
      <c r="B553" s="1" t="s">
        <v>13</v>
      </c>
      <c r="C553" s="1" t="s">
        <v>14</v>
      </c>
      <c r="D553" s="1" t="s">
        <v>31</v>
      </c>
      <c r="E553" s="7">
        <v>808456.29965947894</v>
      </c>
      <c r="F553" s="4">
        <v>2</v>
      </c>
      <c r="G553" s="4">
        <v>9</v>
      </c>
      <c r="H553" s="4">
        <v>3</v>
      </c>
      <c r="I553" s="4">
        <v>4</v>
      </c>
      <c r="J553" s="4">
        <v>100000</v>
      </c>
      <c r="K553" s="4">
        <v>1</v>
      </c>
      <c r="L553" s="4">
        <v>20000</v>
      </c>
      <c r="M553" s="5">
        <f t="shared" si="55"/>
        <v>0.33333333333333331</v>
      </c>
      <c r="N553" s="5">
        <f t="shared" si="56"/>
        <v>4.5</v>
      </c>
      <c r="O553" s="5">
        <f t="shared" si="57"/>
        <v>1.3333333333333333</v>
      </c>
      <c r="P553" s="3">
        <f t="shared" si="58"/>
        <v>89828.4777399421</v>
      </c>
      <c r="Q553" s="6">
        <f t="shared" si="59"/>
        <v>1.4843102843102822</v>
      </c>
    </row>
    <row r="554" spans="1:17" x14ac:dyDescent="0.4">
      <c r="A554" s="2">
        <v>46047</v>
      </c>
      <c r="B554" s="1" t="s">
        <v>11</v>
      </c>
      <c r="C554" s="1" t="s">
        <v>12</v>
      </c>
      <c r="D554" s="1" t="s">
        <v>32</v>
      </c>
      <c r="E554" s="7">
        <v>124060.15037593986</v>
      </c>
      <c r="F554" s="4">
        <v>3</v>
      </c>
      <c r="G554" s="4">
        <v>1</v>
      </c>
      <c r="H554" s="4">
        <v>1</v>
      </c>
      <c r="I554" s="4">
        <v>1</v>
      </c>
      <c r="J554" s="4">
        <v>20000</v>
      </c>
      <c r="K554" s="4"/>
      <c r="L554" s="4"/>
      <c r="M554" s="5">
        <f t="shared" si="55"/>
        <v>1</v>
      </c>
      <c r="N554" s="5">
        <f t="shared" si="56"/>
        <v>0.33333333333333331</v>
      </c>
      <c r="O554" s="5">
        <f t="shared" si="57"/>
        <v>1</v>
      </c>
      <c r="P554" s="3">
        <f t="shared" si="58"/>
        <v>124060.15037593986</v>
      </c>
      <c r="Q554" s="6">
        <f t="shared" si="59"/>
        <v>1.9345454545454543</v>
      </c>
    </row>
    <row r="555" spans="1:17" x14ac:dyDescent="0.4">
      <c r="A555" s="2">
        <v>46047</v>
      </c>
      <c r="B555" s="1" t="s">
        <v>17</v>
      </c>
      <c r="C555" s="1" t="s">
        <v>18</v>
      </c>
      <c r="D555" s="1" t="s">
        <v>59</v>
      </c>
      <c r="E555" s="7">
        <v>177419.35483870967</v>
      </c>
      <c r="F555" s="4">
        <v>4</v>
      </c>
      <c r="G555" s="4"/>
      <c r="H555" s="4"/>
      <c r="I555" s="4"/>
      <c r="J555" s="4"/>
      <c r="K555" s="4"/>
      <c r="L555" s="4"/>
      <c r="M555" s="5">
        <f t="shared" si="55"/>
        <v>0</v>
      </c>
      <c r="N555" s="5">
        <f t="shared" si="56"/>
        <v>0</v>
      </c>
      <c r="O555" s="5">
        <f t="shared" si="57"/>
        <v>0</v>
      </c>
      <c r="P555" s="3">
        <f t="shared" si="58"/>
        <v>0</v>
      </c>
      <c r="Q555" s="6">
        <f t="shared" si="59"/>
        <v>0</v>
      </c>
    </row>
    <row r="556" spans="1:17" x14ac:dyDescent="0.4">
      <c r="A556" s="2">
        <v>46047</v>
      </c>
      <c r="B556" s="1" t="s">
        <v>25</v>
      </c>
      <c r="C556" s="1" t="s">
        <v>35</v>
      </c>
      <c r="D556" s="1" t="s">
        <v>32</v>
      </c>
      <c r="E556" s="7">
        <v>0</v>
      </c>
      <c r="F556" s="4">
        <v>4</v>
      </c>
      <c r="G556" s="4"/>
      <c r="H556" s="4"/>
      <c r="I556" s="4"/>
      <c r="J556" s="4"/>
      <c r="K556" s="4"/>
      <c r="L556" s="4"/>
      <c r="M556" s="5">
        <f t="shared" si="55"/>
        <v>0</v>
      </c>
      <c r="N556" s="5">
        <f t="shared" si="56"/>
        <v>0</v>
      </c>
      <c r="O556" s="5">
        <f t="shared" si="57"/>
        <v>0</v>
      </c>
      <c r="P556" s="3">
        <f t="shared" si="58"/>
        <v>0</v>
      </c>
      <c r="Q556" s="6">
        <f t="shared" si="59"/>
        <v>0</v>
      </c>
    </row>
    <row r="557" spans="1:17" x14ac:dyDescent="0.4">
      <c r="A557" s="2">
        <v>46047</v>
      </c>
      <c r="B557" s="1" t="s">
        <v>24</v>
      </c>
      <c r="C557" s="1" t="s">
        <v>6</v>
      </c>
      <c r="D557" s="1" t="s">
        <v>69</v>
      </c>
      <c r="E557" s="7">
        <v>196448</v>
      </c>
      <c r="F557" s="4">
        <v>5</v>
      </c>
      <c r="G557" s="4" t="s">
        <v>68</v>
      </c>
      <c r="H557" s="4" t="s">
        <v>68</v>
      </c>
      <c r="I557" s="4" t="s">
        <v>68</v>
      </c>
      <c r="J557" s="4" t="s">
        <v>68</v>
      </c>
      <c r="K557" s="4" t="s">
        <v>68</v>
      </c>
      <c r="L557" s="4" t="s">
        <v>68</v>
      </c>
      <c r="M557" s="5">
        <f t="shared" si="55"/>
        <v>0</v>
      </c>
      <c r="N557" s="5">
        <f t="shared" si="56"/>
        <v>0</v>
      </c>
      <c r="O557" s="5">
        <f t="shared" si="57"/>
        <v>0</v>
      </c>
      <c r="P557" s="3">
        <f t="shared" si="58"/>
        <v>0</v>
      </c>
      <c r="Q557" s="6">
        <f t="shared" si="59"/>
        <v>0</v>
      </c>
    </row>
    <row r="558" spans="1:17" x14ac:dyDescent="0.4">
      <c r="A558" s="2">
        <v>46047</v>
      </c>
      <c r="B558" s="1" t="s">
        <v>9</v>
      </c>
      <c r="C558" s="1" t="s">
        <v>6</v>
      </c>
      <c r="D558" s="1" t="s">
        <v>70</v>
      </c>
      <c r="E558" s="7">
        <v>392896</v>
      </c>
      <c r="F558" s="4">
        <v>10</v>
      </c>
      <c r="G558" s="4">
        <v>2</v>
      </c>
      <c r="H558" s="4">
        <v>1</v>
      </c>
      <c r="I558" s="4">
        <v>1</v>
      </c>
      <c r="J558" s="4">
        <v>20000</v>
      </c>
      <c r="K558" s="4" t="s">
        <v>68</v>
      </c>
      <c r="L558" s="4" t="s">
        <v>68</v>
      </c>
      <c r="M558" s="5">
        <f t="shared" si="55"/>
        <v>0.5</v>
      </c>
      <c r="N558" s="5">
        <f t="shared" si="56"/>
        <v>0.2</v>
      </c>
      <c r="O558" s="5">
        <f t="shared" si="57"/>
        <v>1</v>
      </c>
      <c r="P558" s="3">
        <f t="shared" si="58"/>
        <v>196448</v>
      </c>
      <c r="Q558" s="6">
        <f t="shared" si="59"/>
        <v>0.61084867242221863</v>
      </c>
    </row>
    <row r="559" spans="1:17" x14ac:dyDescent="0.4">
      <c r="A559" s="2">
        <v>46047</v>
      </c>
      <c r="B559" s="1" t="s">
        <v>15</v>
      </c>
      <c r="C559" s="1" t="s">
        <v>6</v>
      </c>
      <c r="D559" s="1" t="s">
        <v>44</v>
      </c>
      <c r="E559" s="7">
        <v>432186</v>
      </c>
      <c r="F559" s="4">
        <v>11</v>
      </c>
      <c r="G559" s="4">
        <v>5</v>
      </c>
      <c r="H559" s="4">
        <v>4</v>
      </c>
      <c r="I559" s="4">
        <v>2</v>
      </c>
      <c r="J559" s="4">
        <v>40000</v>
      </c>
      <c r="K559" s="4" t="s">
        <v>68</v>
      </c>
      <c r="L559" s="4" t="s">
        <v>68</v>
      </c>
      <c r="M559" s="5">
        <f t="shared" si="55"/>
        <v>0.8</v>
      </c>
      <c r="N559" s="5">
        <f t="shared" si="56"/>
        <v>0.45454545454545453</v>
      </c>
      <c r="O559" s="5">
        <f t="shared" si="57"/>
        <v>0.5</v>
      </c>
      <c r="P559" s="3">
        <f t="shared" si="58"/>
        <v>86437.2</v>
      </c>
      <c r="Q559" s="6">
        <f t="shared" si="59"/>
        <v>1.1106329219363884</v>
      </c>
    </row>
    <row r="560" spans="1:17" x14ac:dyDescent="0.4">
      <c r="A560" s="2">
        <v>46047</v>
      </c>
      <c r="B560" s="1" t="s">
        <v>10</v>
      </c>
      <c r="C560" s="1" t="s">
        <v>6</v>
      </c>
      <c r="D560" s="1" t="s">
        <v>33</v>
      </c>
      <c r="E560" s="7">
        <v>314317</v>
      </c>
      <c r="F560" s="4">
        <v>8</v>
      </c>
      <c r="G560" s="4">
        <v>4</v>
      </c>
      <c r="H560" s="4">
        <v>3</v>
      </c>
      <c r="I560" s="4">
        <v>2</v>
      </c>
      <c r="J560" s="4">
        <v>60000</v>
      </c>
      <c r="K560" s="4">
        <v>1</v>
      </c>
      <c r="L560" s="4">
        <v>20000</v>
      </c>
      <c r="M560" s="5">
        <f t="shared" si="55"/>
        <v>0.75</v>
      </c>
      <c r="N560" s="5">
        <f t="shared" si="56"/>
        <v>0.5</v>
      </c>
      <c r="O560" s="5">
        <f t="shared" si="57"/>
        <v>0.66666666666666663</v>
      </c>
      <c r="P560" s="3">
        <f t="shared" si="58"/>
        <v>78579.25</v>
      </c>
      <c r="Q560" s="6">
        <f t="shared" si="59"/>
        <v>2.2906810640213542</v>
      </c>
    </row>
    <row r="561" spans="1:17" x14ac:dyDescent="0.4">
      <c r="A561" s="2">
        <v>46047</v>
      </c>
      <c r="B561" s="1" t="s">
        <v>74</v>
      </c>
      <c r="C561" s="1" t="s">
        <v>6</v>
      </c>
      <c r="D561" s="1" t="s">
        <v>71</v>
      </c>
      <c r="E561" s="7">
        <v>196448</v>
      </c>
      <c r="F561" s="4">
        <v>5</v>
      </c>
      <c r="G561" s="4">
        <v>1</v>
      </c>
      <c r="H561" s="4">
        <v>1</v>
      </c>
      <c r="I561" s="4">
        <v>1</v>
      </c>
      <c r="J561" s="4">
        <v>20000</v>
      </c>
      <c r="K561" s="4" t="s">
        <v>68</v>
      </c>
      <c r="L561" s="4" t="s">
        <v>68</v>
      </c>
      <c r="M561" s="5">
        <f t="shared" si="55"/>
        <v>1</v>
      </c>
      <c r="N561" s="5">
        <f t="shared" si="56"/>
        <v>0.2</v>
      </c>
      <c r="O561" s="5">
        <f t="shared" si="57"/>
        <v>1</v>
      </c>
      <c r="P561" s="3">
        <f t="shared" si="58"/>
        <v>196448</v>
      </c>
      <c r="Q561" s="6">
        <f t="shared" si="59"/>
        <v>1.2216973448444373</v>
      </c>
    </row>
    <row r="562" spans="1:17" x14ac:dyDescent="0.4">
      <c r="A562" s="2">
        <v>46047</v>
      </c>
      <c r="B562" s="1" t="s">
        <v>75</v>
      </c>
      <c r="C562" s="1" t="s">
        <v>6</v>
      </c>
      <c r="D562" s="1" t="s">
        <v>72</v>
      </c>
      <c r="E562" s="7">
        <v>196448</v>
      </c>
      <c r="F562" s="4">
        <v>5</v>
      </c>
      <c r="G562" s="4" t="s">
        <v>68</v>
      </c>
      <c r="H562" s="4" t="s">
        <v>68</v>
      </c>
      <c r="I562" s="4" t="s">
        <v>68</v>
      </c>
      <c r="J562" s="4" t="s">
        <v>68</v>
      </c>
      <c r="K562" s="4" t="s">
        <v>68</v>
      </c>
      <c r="L562" s="4" t="s">
        <v>68</v>
      </c>
      <c r="M562" s="5">
        <f t="shared" si="55"/>
        <v>0</v>
      </c>
      <c r="N562" s="5">
        <f t="shared" si="56"/>
        <v>0</v>
      </c>
      <c r="O562" s="5">
        <f t="shared" si="57"/>
        <v>0</v>
      </c>
      <c r="P562" s="3">
        <f t="shared" si="58"/>
        <v>0</v>
      </c>
      <c r="Q562" s="6">
        <f t="shared" si="59"/>
        <v>0</v>
      </c>
    </row>
    <row r="563" spans="1:17" x14ac:dyDescent="0.4">
      <c r="A563" s="2">
        <v>46047</v>
      </c>
      <c r="B563" s="1" t="s">
        <v>5</v>
      </c>
      <c r="C563" s="1" t="s">
        <v>6</v>
      </c>
      <c r="D563" s="1" t="s">
        <v>52</v>
      </c>
      <c r="E563" s="7">
        <v>314317</v>
      </c>
      <c r="F563" s="4">
        <v>8</v>
      </c>
      <c r="G563" s="4">
        <v>4</v>
      </c>
      <c r="H563" s="4">
        <v>4</v>
      </c>
      <c r="I563" s="4">
        <v>2</v>
      </c>
      <c r="J563" s="4">
        <v>40000</v>
      </c>
      <c r="K563" s="4" t="s">
        <v>68</v>
      </c>
      <c r="L563" s="4" t="s">
        <v>68</v>
      </c>
      <c r="M563" s="5">
        <f t="shared" si="55"/>
        <v>1</v>
      </c>
      <c r="N563" s="5">
        <f t="shared" si="56"/>
        <v>0.5</v>
      </c>
      <c r="O563" s="5">
        <f t="shared" si="57"/>
        <v>0.5</v>
      </c>
      <c r="P563" s="3">
        <f t="shared" si="58"/>
        <v>78579.25</v>
      </c>
      <c r="Q563" s="6">
        <f t="shared" si="59"/>
        <v>1.5271207093475694</v>
      </c>
    </row>
    <row r="564" spans="1:17" x14ac:dyDescent="0.4">
      <c r="A564" s="2">
        <v>46047</v>
      </c>
      <c r="B564" s="1" t="s">
        <v>26</v>
      </c>
      <c r="C564" s="1" t="s">
        <v>36</v>
      </c>
      <c r="D564" s="1" t="s">
        <v>52</v>
      </c>
      <c r="E564" s="7">
        <v>0</v>
      </c>
      <c r="F564" s="4">
        <v>2</v>
      </c>
      <c r="G564" s="4">
        <v>1</v>
      </c>
      <c r="H564" s="4">
        <v>1</v>
      </c>
      <c r="I564" s="4"/>
      <c r="J564" s="4"/>
      <c r="K564" s="4"/>
      <c r="L564" s="4"/>
      <c r="M564" s="5">
        <f t="shared" si="55"/>
        <v>1</v>
      </c>
      <c r="N564" s="5">
        <f t="shared" si="56"/>
        <v>0.5</v>
      </c>
      <c r="O564" s="5">
        <f t="shared" si="57"/>
        <v>0</v>
      </c>
      <c r="P564" s="3">
        <f t="shared" si="58"/>
        <v>0</v>
      </c>
      <c r="Q564" s="6">
        <f t="shared" si="59"/>
        <v>0</v>
      </c>
    </row>
    <row r="565" spans="1:17" x14ac:dyDescent="0.4">
      <c r="A565" s="2">
        <v>46047</v>
      </c>
      <c r="B565" s="1" t="s">
        <v>51</v>
      </c>
      <c r="C565" s="1" t="s">
        <v>50</v>
      </c>
      <c r="D565" s="1" t="s">
        <v>54</v>
      </c>
      <c r="E565" s="7">
        <v>285714.28571428574</v>
      </c>
      <c r="F565" s="4">
        <v>4</v>
      </c>
      <c r="G565" s="4">
        <v>1</v>
      </c>
      <c r="H565" s="4">
        <v>1</v>
      </c>
      <c r="I565" s="4">
        <v>1</v>
      </c>
      <c r="J565" s="4">
        <v>30000</v>
      </c>
      <c r="K565" s="4"/>
      <c r="L565" s="4"/>
      <c r="M565" s="5">
        <f t="shared" si="55"/>
        <v>1</v>
      </c>
      <c r="N565" s="5">
        <f t="shared" si="56"/>
        <v>0.25</v>
      </c>
      <c r="O565" s="5">
        <f t="shared" si="57"/>
        <v>1</v>
      </c>
      <c r="P565" s="3">
        <f t="shared" si="58"/>
        <v>285714.28571428574</v>
      </c>
      <c r="Q565" s="6">
        <f t="shared" si="59"/>
        <v>1.2599999999999998</v>
      </c>
    </row>
    <row r="566" spans="1:17" x14ac:dyDescent="0.4">
      <c r="A566" s="2">
        <v>46047</v>
      </c>
      <c r="B566" s="1" t="s">
        <v>19</v>
      </c>
      <c r="C566" s="1" t="s">
        <v>20</v>
      </c>
      <c r="D566" s="1" t="s">
        <v>34</v>
      </c>
      <c r="E566" s="7">
        <v>163829.78723404257</v>
      </c>
      <c r="F566" s="4">
        <v>4</v>
      </c>
      <c r="G566" s="4">
        <v>1</v>
      </c>
      <c r="H566" s="4"/>
      <c r="I566" s="4"/>
      <c r="J566" s="4"/>
      <c r="K566" s="4"/>
      <c r="L566" s="4"/>
      <c r="M566" s="5">
        <f t="shared" si="55"/>
        <v>0</v>
      </c>
      <c r="N566" s="5">
        <f t="shared" si="56"/>
        <v>0.25</v>
      </c>
      <c r="O566" s="5">
        <f t="shared" si="57"/>
        <v>0</v>
      </c>
      <c r="P566" s="3">
        <f t="shared" si="58"/>
        <v>163829.78723404257</v>
      </c>
      <c r="Q566" s="6">
        <f t="shared" si="59"/>
        <v>0</v>
      </c>
    </row>
    <row r="567" spans="1:17" x14ac:dyDescent="0.4">
      <c r="A567" s="2">
        <v>46047</v>
      </c>
      <c r="B567" s="1" t="s">
        <v>23</v>
      </c>
      <c r="C567" s="1" t="s">
        <v>37</v>
      </c>
      <c r="D567" s="1" t="s">
        <v>32</v>
      </c>
      <c r="E567" s="7">
        <v>0</v>
      </c>
      <c r="F567" s="4">
        <v>6</v>
      </c>
      <c r="G567" s="4"/>
      <c r="H567" s="4"/>
      <c r="I567" s="4"/>
      <c r="J567" s="4"/>
      <c r="K567" s="4"/>
      <c r="L567" s="4"/>
      <c r="M567" s="5">
        <f t="shared" si="55"/>
        <v>0</v>
      </c>
      <c r="N567" s="5">
        <f t="shared" si="56"/>
        <v>0</v>
      </c>
      <c r="O567" s="5">
        <f t="shared" si="57"/>
        <v>0</v>
      </c>
      <c r="P567" s="3">
        <f t="shared" si="58"/>
        <v>0</v>
      </c>
      <c r="Q567" s="6">
        <f t="shared" si="59"/>
        <v>0</v>
      </c>
    </row>
    <row r="568" spans="1:17" x14ac:dyDescent="0.4">
      <c r="A568" s="2">
        <v>46047</v>
      </c>
      <c r="B568" s="1" t="s">
        <v>21</v>
      </c>
      <c r="C568" s="1" t="s">
        <v>22</v>
      </c>
      <c r="D568" s="1" t="s">
        <v>32</v>
      </c>
      <c r="E568" s="7">
        <v>283870.96774193551</v>
      </c>
      <c r="F568" s="4">
        <v>9</v>
      </c>
      <c r="G568" s="4">
        <v>1</v>
      </c>
      <c r="H568" s="4">
        <v>1</v>
      </c>
      <c r="I568" s="4"/>
      <c r="J568" s="4"/>
      <c r="K568" s="4"/>
      <c r="L568" s="4"/>
      <c r="M568" s="5">
        <f t="shared" si="55"/>
        <v>1</v>
      </c>
      <c r="N568" s="5">
        <f t="shared" si="56"/>
        <v>0.1111111111111111</v>
      </c>
      <c r="O568" s="5">
        <f t="shared" si="57"/>
        <v>0</v>
      </c>
      <c r="P568" s="3">
        <f t="shared" si="58"/>
        <v>283870.96774193551</v>
      </c>
      <c r="Q568" s="6">
        <f t="shared" si="59"/>
        <v>0</v>
      </c>
    </row>
    <row r="569" spans="1:17" x14ac:dyDescent="0.4">
      <c r="A569" s="2">
        <v>46047</v>
      </c>
      <c r="B569" s="1" t="s">
        <v>61</v>
      </c>
      <c r="C569" s="1" t="s">
        <v>64</v>
      </c>
      <c r="D569" s="1" t="s">
        <v>66</v>
      </c>
      <c r="E569" s="7">
        <v>0</v>
      </c>
      <c r="F569" s="4">
        <v>0</v>
      </c>
      <c r="G569" s="4"/>
      <c r="H569" s="4"/>
      <c r="I569" s="4"/>
      <c r="J569" s="4"/>
      <c r="K569" s="4"/>
      <c r="L569" s="4"/>
      <c r="M569" s="5">
        <f t="shared" ref="M569:M641" si="60">IFERROR(H569/G569,0)</f>
        <v>0</v>
      </c>
      <c r="N569" s="5">
        <f t="shared" ref="N569:N641" si="61">IFERROR(G569/F569,0)</f>
        <v>0</v>
      </c>
      <c r="O569" s="5">
        <f t="shared" ref="O569:O641" si="62">IFERROR(I569/H569,0)</f>
        <v>0</v>
      </c>
      <c r="P569" s="3">
        <f t="shared" ref="P569:P641" si="63">IFERROR(E569/G569,0)</f>
        <v>0</v>
      </c>
      <c r="Q569" s="6">
        <f t="shared" ref="Q569:Q641" si="64">IFERROR(J569*12/E569,0)</f>
        <v>0</v>
      </c>
    </row>
    <row r="570" spans="1:17" x14ac:dyDescent="0.4">
      <c r="A570" s="2">
        <v>46047</v>
      </c>
      <c r="B570" s="1" t="s">
        <v>42</v>
      </c>
      <c r="C570" s="1" t="s">
        <v>38</v>
      </c>
      <c r="D570" s="1" t="s">
        <v>42</v>
      </c>
      <c r="E570" s="7">
        <v>0</v>
      </c>
      <c r="F570" s="4">
        <v>0</v>
      </c>
      <c r="G570" s="4"/>
      <c r="H570" s="4"/>
      <c r="I570" s="4"/>
      <c r="J570" s="4"/>
      <c r="K570" s="4"/>
      <c r="L570" s="4"/>
      <c r="M570" s="5">
        <f t="shared" si="60"/>
        <v>0</v>
      </c>
      <c r="N570" s="5">
        <f t="shared" si="61"/>
        <v>0</v>
      </c>
      <c r="O570" s="5">
        <f t="shared" si="62"/>
        <v>0</v>
      </c>
      <c r="P570" s="3">
        <f t="shared" si="63"/>
        <v>0</v>
      </c>
      <c r="Q570" s="6">
        <f t="shared" si="64"/>
        <v>0</v>
      </c>
    </row>
    <row r="571" spans="1:17" x14ac:dyDescent="0.4">
      <c r="A571" s="2">
        <v>46047</v>
      </c>
      <c r="B571" s="1" t="s">
        <v>7</v>
      </c>
      <c r="C571" s="1" t="s">
        <v>8</v>
      </c>
      <c r="D571" s="1" t="s">
        <v>42</v>
      </c>
      <c r="E571" s="7">
        <v>0</v>
      </c>
      <c r="F571" s="4">
        <v>0</v>
      </c>
      <c r="G571" s="3">
        <v>4</v>
      </c>
      <c r="H571" s="3">
        <v>3</v>
      </c>
      <c r="I571" s="3"/>
      <c r="J571" s="3"/>
      <c r="K571" s="3"/>
      <c r="L571" s="3"/>
      <c r="M571" s="5">
        <f t="shared" si="60"/>
        <v>0.75</v>
      </c>
      <c r="N571" s="5">
        <f t="shared" si="61"/>
        <v>0</v>
      </c>
      <c r="O571" s="5">
        <f t="shared" si="62"/>
        <v>0</v>
      </c>
      <c r="P571" s="3">
        <f t="shared" si="63"/>
        <v>0</v>
      </c>
      <c r="Q571" s="6">
        <f t="shared" si="64"/>
        <v>0</v>
      </c>
    </row>
    <row r="572" spans="1:17" x14ac:dyDescent="0.4">
      <c r="A572" s="2">
        <v>46048</v>
      </c>
      <c r="B572" s="1" t="s">
        <v>13</v>
      </c>
      <c r="C572" s="1" t="s">
        <v>14</v>
      </c>
      <c r="D572" s="1" t="s">
        <v>31</v>
      </c>
      <c r="E572" s="7">
        <v>1420261.0669693549</v>
      </c>
      <c r="F572" s="4">
        <v>3</v>
      </c>
      <c r="G572" s="4">
        <v>15</v>
      </c>
      <c r="H572" s="4">
        <v>9</v>
      </c>
      <c r="I572" s="4">
        <v>5</v>
      </c>
      <c r="J572" s="4">
        <v>110000</v>
      </c>
      <c r="K572" s="4">
        <v>2</v>
      </c>
      <c r="L572" s="4">
        <v>40000</v>
      </c>
      <c r="M572" s="5">
        <f t="shared" si="60"/>
        <v>0.6</v>
      </c>
      <c r="N572" s="5">
        <f t="shared" si="61"/>
        <v>5</v>
      </c>
      <c r="O572" s="5">
        <f t="shared" si="62"/>
        <v>0.55555555555555558</v>
      </c>
      <c r="P572" s="3">
        <f t="shared" si="63"/>
        <v>94684.07113129033</v>
      </c>
      <c r="Q572" s="6">
        <f t="shared" si="64"/>
        <v>0.92940659340659215</v>
      </c>
    </row>
    <row r="573" spans="1:17" x14ac:dyDescent="0.4">
      <c r="A573" s="2">
        <v>46048</v>
      </c>
      <c r="B573" s="1" t="s">
        <v>11</v>
      </c>
      <c r="C573" s="1" t="s">
        <v>12</v>
      </c>
      <c r="D573" s="1" t="s">
        <v>32</v>
      </c>
      <c r="E573" s="7">
        <v>165413.53383458647</v>
      </c>
      <c r="F573" s="4">
        <v>4</v>
      </c>
      <c r="G573" s="4">
        <v>1</v>
      </c>
      <c r="H573" s="4">
        <v>1</v>
      </c>
      <c r="I573" s="4">
        <v>1</v>
      </c>
      <c r="J573" s="4">
        <v>20000</v>
      </c>
      <c r="K573" s="4"/>
      <c r="L573" s="4"/>
      <c r="M573" s="5">
        <f t="shared" si="60"/>
        <v>1</v>
      </c>
      <c r="N573" s="5">
        <f t="shared" si="61"/>
        <v>0.25</v>
      </c>
      <c r="O573" s="5">
        <f t="shared" si="62"/>
        <v>1</v>
      </c>
      <c r="P573" s="3">
        <f t="shared" si="63"/>
        <v>165413.53383458647</v>
      </c>
      <c r="Q573" s="6">
        <f t="shared" si="64"/>
        <v>1.4509090909090909</v>
      </c>
    </row>
    <row r="574" spans="1:17" x14ac:dyDescent="0.4">
      <c r="A574" s="2">
        <v>46048</v>
      </c>
      <c r="B574" s="1" t="s">
        <v>17</v>
      </c>
      <c r="C574" s="1" t="s">
        <v>18</v>
      </c>
      <c r="D574" s="1" t="s">
        <v>59</v>
      </c>
      <c r="E574" s="7">
        <v>177419.35483870967</v>
      </c>
      <c r="F574" s="4">
        <v>4</v>
      </c>
      <c r="G574" s="4">
        <v>1</v>
      </c>
      <c r="H574" s="4">
        <v>1</v>
      </c>
      <c r="I574" s="4">
        <v>1</v>
      </c>
      <c r="J574" s="4">
        <v>20000</v>
      </c>
      <c r="K574" s="4"/>
      <c r="L574" s="4"/>
      <c r="M574" s="5">
        <f t="shared" si="60"/>
        <v>1</v>
      </c>
      <c r="N574" s="5">
        <f t="shared" si="61"/>
        <v>0.25</v>
      </c>
      <c r="O574" s="5">
        <f t="shared" si="62"/>
        <v>1</v>
      </c>
      <c r="P574" s="3">
        <f t="shared" si="63"/>
        <v>177419.35483870967</v>
      </c>
      <c r="Q574" s="6">
        <f t="shared" si="64"/>
        <v>1.3527272727272728</v>
      </c>
    </row>
    <row r="575" spans="1:17" x14ac:dyDescent="0.4">
      <c r="A575" s="2">
        <v>46048</v>
      </c>
      <c r="B575" s="1" t="s">
        <v>25</v>
      </c>
      <c r="C575" s="1" t="s">
        <v>35</v>
      </c>
      <c r="D575" s="1" t="s">
        <v>32</v>
      </c>
      <c r="E575" s="7">
        <v>0</v>
      </c>
      <c r="F575" s="4">
        <v>4</v>
      </c>
      <c r="G575" s="4"/>
      <c r="H575" s="4"/>
      <c r="I575" s="4"/>
      <c r="J575" s="4"/>
      <c r="K575" s="4"/>
      <c r="L575" s="4"/>
      <c r="M575" s="5">
        <f t="shared" si="60"/>
        <v>0</v>
      </c>
      <c r="N575" s="5">
        <f t="shared" si="61"/>
        <v>0</v>
      </c>
      <c r="O575" s="5">
        <f t="shared" si="62"/>
        <v>0</v>
      </c>
      <c r="P575" s="3">
        <f t="shared" si="63"/>
        <v>0</v>
      </c>
      <c r="Q575" s="6">
        <f t="shared" si="64"/>
        <v>0</v>
      </c>
    </row>
    <row r="576" spans="1:17" x14ac:dyDescent="0.4">
      <c r="A576" s="2">
        <v>46048</v>
      </c>
      <c r="B576" s="1" t="s">
        <v>24</v>
      </c>
      <c r="C576" s="1" t="s">
        <v>6</v>
      </c>
      <c r="D576" s="1" t="s">
        <v>69</v>
      </c>
      <c r="E576" s="7">
        <v>138246</v>
      </c>
      <c r="F576" s="4">
        <v>4</v>
      </c>
      <c r="G576" s="4">
        <v>1</v>
      </c>
      <c r="H576" s="4">
        <v>1</v>
      </c>
      <c r="I576" s="4" t="s">
        <v>68</v>
      </c>
      <c r="J576" s="4" t="s">
        <v>68</v>
      </c>
      <c r="K576" s="4" t="s">
        <v>68</v>
      </c>
      <c r="L576" s="4" t="s">
        <v>68</v>
      </c>
      <c r="M576" s="5">
        <f t="shared" si="60"/>
        <v>1</v>
      </c>
      <c r="N576" s="5">
        <f t="shared" si="61"/>
        <v>0.25</v>
      </c>
      <c r="O576" s="5">
        <f t="shared" si="62"/>
        <v>0</v>
      </c>
      <c r="P576" s="3">
        <f t="shared" si="63"/>
        <v>138246</v>
      </c>
      <c r="Q576" s="6">
        <f t="shared" si="64"/>
        <v>0</v>
      </c>
    </row>
    <row r="577" spans="1:17" x14ac:dyDescent="0.4">
      <c r="A577" s="2">
        <v>46048</v>
      </c>
      <c r="B577" s="1" t="s">
        <v>9</v>
      </c>
      <c r="C577" s="1" t="s">
        <v>6</v>
      </c>
      <c r="D577" s="1" t="s">
        <v>70</v>
      </c>
      <c r="E577" s="7">
        <v>311054</v>
      </c>
      <c r="F577" s="4">
        <v>9</v>
      </c>
      <c r="G577" s="4">
        <v>6</v>
      </c>
      <c r="H577" s="4">
        <v>1</v>
      </c>
      <c r="I577" s="4" t="s">
        <v>68</v>
      </c>
      <c r="J577" s="4" t="s">
        <v>68</v>
      </c>
      <c r="K577" s="4">
        <v>1</v>
      </c>
      <c r="L577" s="4">
        <v>20000</v>
      </c>
      <c r="M577" s="5">
        <f t="shared" si="60"/>
        <v>0.16666666666666666</v>
      </c>
      <c r="N577" s="5">
        <f t="shared" si="61"/>
        <v>0.66666666666666663</v>
      </c>
      <c r="O577" s="5">
        <f t="shared" si="62"/>
        <v>0</v>
      </c>
      <c r="P577" s="3">
        <f t="shared" si="63"/>
        <v>51842.333333333336</v>
      </c>
      <c r="Q577" s="6">
        <f t="shared" si="64"/>
        <v>0</v>
      </c>
    </row>
    <row r="578" spans="1:17" x14ac:dyDescent="0.4">
      <c r="A578" s="2">
        <v>46048</v>
      </c>
      <c r="B578" s="1" t="s">
        <v>15</v>
      </c>
      <c r="C578" s="1" t="s">
        <v>6</v>
      </c>
      <c r="D578" s="1" t="s">
        <v>44</v>
      </c>
      <c r="E578" s="7">
        <v>311054</v>
      </c>
      <c r="F578" s="4">
        <v>9</v>
      </c>
      <c r="G578" s="4">
        <v>3</v>
      </c>
      <c r="H578" s="4">
        <v>2</v>
      </c>
      <c r="I578" s="4">
        <v>2</v>
      </c>
      <c r="J578" s="4">
        <v>30000</v>
      </c>
      <c r="K578" s="4" t="s">
        <v>68</v>
      </c>
      <c r="L578" s="4" t="s">
        <v>68</v>
      </c>
      <c r="M578" s="5">
        <f t="shared" si="60"/>
        <v>0.66666666666666663</v>
      </c>
      <c r="N578" s="5">
        <f t="shared" si="61"/>
        <v>0.33333333333333331</v>
      </c>
      <c r="O578" s="5">
        <f t="shared" si="62"/>
        <v>1</v>
      </c>
      <c r="P578" s="3">
        <f t="shared" si="63"/>
        <v>103684.66666666667</v>
      </c>
      <c r="Q578" s="6">
        <f t="shared" si="64"/>
        <v>1.1573553145113067</v>
      </c>
    </row>
    <row r="579" spans="1:17" x14ac:dyDescent="0.4">
      <c r="A579" s="2">
        <v>46048</v>
      </c>
      <c r="B579" s="1" t="s">
        <v>10</v>
      </c>
      <c r="C579" s="1" t="s">
        <v>6</v>
      </c>
      <c r="D579" s="1" t="s">
        <v>33</v>
      </c>
      <c r="E579" s="7">
        <v>241931</v>
      </c>
      <c r="F579" s="4">
        <v>7</v>
      </c>
      <c r="G579" s="4">
        <v>1</v>
      </c>
      <c r="H579" s="4">
        <v>1</v>
      </c>
      <c r="I579" s="4">
        <v>1</v>
      </c>
      <c r="J579" s="4">
        <v>10000</v>
      </c>
      <c r="K579" s="4" t="s">
        <v>68</v>
      </c>
      <c r="L579" s="4" t="s">
        <v>68</v>
      </c>
      <c r="M579" s="5">
        <f t="shared" si="60"/>
        <v>1</v>
      </c>
      <c r="N579" s="5">
        <f t="shared" si="61"/>
        <v>0.14285714285714285</v>
      </c>
      <c r="O579" s="5">
        <f t="shared" si="62"/>
        <v>1</v>
      </c>
      <c r="P579" s="3">
        <f t="shared" si="63"/>
        <v>241931</v>
      </c>
      <c r="Q579" s="6">
        <f t="shared" si="64"/>
        <v>0.49600919270370475</v>
      </c>
    </row>
    <row r="580" spans="1:17" x14ac:dyDescent="0.4">
      <c r="A580" s="2">
        <v>46048</v>
      </c>
      <c r="B580" s="1" t="s">
        <v>74</v>
      </c>
      <c r="C580" s="1" t="s">
        <v>6</v>
      </c>
      <c r="D580" s="1" t="s">
        <v>71</v>
      </c>
      <c r="E580" s="7">
        <v>172808</v>
      </c>
      <c r="F580" s="4">
        <v>5</v>
      </c>
      <c r="G580" s="4">
        <v>1</v>
      </c>
      <c r="H580" s="4">
        <v>1</v>
      </c>
      <c r="I580" s="4">
        <v>1</v>
      </c>
      <c r="J580" s="4">
        <v>20000</v>
      </c>
      <c r="K580" s="4" t="s">
        <v>68</v>
      </c>
      <c r="L580" s="4" t="s">
        <v>68</v>
      </c>
      <c r="M580" s="5">
        <f t="shared" si="60"/>
        <v>1</v>
      </c>
      <c r="N580" s="5">
        <f t="shared" si="61"/>
        <v>0.2</v>
      </c>
      <c r="O580" s="5">
        <f t="shared" si="62"/>
        <v>1</v>
      </c>
      <c r="P580" s="3">
        <f t="shared" si="63"/>
        <v>172808</v>
      </c>
      <c r="Q580" s="6">
        <f t="shared" si="64"/>
        <v>1.3888245914540993</v>
      </c>
    </row>
    <row r="581" spans="1:17" x14ac:dyDescent="0.4">
      <c r="A581" s="2">
        <v>46048</v>
      </c>
      <c r="B581" s="1" t="s">
        <v>75</v>
      </c>
      <c r="C581" s="1" t="s">
        <v>6</v>
      </c>
      <c r="D581" s="1" t="s">
        <v>72</v>
      </c>
      <c r="E581" s="7">
        <v>138246</v>
      </c>
      <c r="F581" s="4">
        <v>4</v>
      </c>
      <c r="G581" s="4" t="s">
        <v>68</v>
      </c>
      <c r="H581" s="4" t="s">
        <v>68</v>
      </c>
      <c r="I581" s="4" t="s">
        <v>68</v>
      </c>
      <c r="J581" s="4" t="s">
        <v>68</v>
      </c>
      <c r="K581" s="4" t="s">
        <v>68</v>
      </c>
      <c r="L581" s="4" t="s">
        <v>68</v>
      </c>
      <c r="M581" s="5">
        <f t="shared" si="60"/>
        <v>0</v>
      </c>
      <c r="N581" s="5">
        <f t="shared" si="61"/>
        <v>0</v>
      </c>
      <c r="O581" s="5">
        <f t="shared" si="62"/>
        <v>0</v>
      </c>
      <c r="P581" s="3">
        <f t="shared" si="63"/>
        <v>0</v>
      </c>
      <c r="Q581" s="6">
        <f t="shared" si="64"/>
        <v>0</v>
      </c>
    </row>
    <row r="582" spans="1:17" x14ac:dyDescent="0.4">
      <c r="A582" s="2">
        <v>46048</v>
      </c>
      <c r="B582" s="1" t="s">
        <v>5</v>
      </c>
      <c r="C582" s="1" t="s">
        <v>6</v>
      </c>
      <c r="D582" s="1" t="s">
        <v>52</v>
      </c>
      <c r="E582" s="7">
        <v>241931</v>
      </c>
      <c r="F582" s="4">
        <v>7</v>
      </c>
      <c r="G582" s="4">
        <v>1</v>
      </c>
      <c r="H582" s="4">
        <v>1</v>
      </c>
      <c r="I582" s="4" t="s">
        <v>68</v>
      </c>
      <c r="J582" s="4" t="s">
        <v>68</v>
      </c>
      <c r="K582" s="4" t="s">
        <v>68</v>
      </c>
      <c r="L582" s="4" t="s">
        <v>68</v>
      </c>
      <c r="M582" s="5">
        <f t="shared" si="60"/>
        <v>1</v>
      </c>
      <c r="N582" s="5">
        <f t="shared" si="61"/>
        <v>0.14285714285714285</v>
      </c>
      <c r="O582" s="5">
        <f t="shared" si="62"/>
        <v>0</v>
      </c>
      <c r="P582" s="3">
        <f t="shared" si="63"/>
        <v>241931</v>
      </c>
      <c r="Q582" s="6">
        <f t="shared" si="64"/>
        <v>0</v>
      </c>
    </row>
    <row r="583" spans="1:17" x14ac:dyDescent="0.4">
      <c r="A583" s="2">
        <v>46048</v>
      </c>
      <c r="B583" s="1" t="s">
        <v>26</v>
      </c>
      <c r="C583" s="1" t="s">
        <v>36</v>
      </c>
      <c r="D583" s="1" t="s">
        <v>52</v>
      </c>
      <c r="E583" s="7">
        <v>0</v>
      </c>
      <c r="F583" s="4">
        <v>2</v>
      </c>
      <c r="G583" s="4"/>
      <c r="H583" s="4"/>
      <c r="I583" s="4"/>
      <c r="J583" s="4"/>
      <c r="K583" s="4"/>
      <c r="L583" s="4"/>
      <c r="M583" s="5">
        <f t="shared" si="60"/>
        <v>0</v>
      </c>
      <c r="N583" s="5">
        <f t="shared" si="61"/>
        <v>0</v>
      </c>
      <c r="O583" s="5">
        <f t="shared" si="62"/>
        <v>0</v>
      </c>
      <c r="P583" s="3">
        <f t="shared" si="63"/>
        <v>0</v>
      </c>
      <c r="Q583" s="6">
        <f t="shared" si="64"/>
        <v>0</v>
      </c>
    </row>
    <row r="584" spans="1:17" x14ac:dyDescent="0.4">
      <c r="A584" s="2">
        <v>46048</v>
      </c>
      <c r="B584" s="1" t="s">
        <v>51</v>
      </c>
      <c r="C584" s="1" t="s">
        <v>50</v>
      </c>
      <c r="D584" s="1" t="s">
        <v>54</v>
      </c>
      <c r="E584" s="7">
        <v>285714.28571428574</v>
      </c>
      <c r="F584" s="4">
        <v>4</v>
      </c>
      <c r="G584" s="4">
        <v>2</v>
      </c>
      <c r="H584" s="4">
        <v>2</v>
      </c>
      <c r="I584" s="4"/>
      <c r="J584" s="4"/>
      <c r="K584" s="4">
        <v>1</v>
      </c>
      <c r="L584" s="4">
        <v>20000</v>
      </c>
      <c r="M584" s="5">
        <f t="shared" si="60"/>
        <v>1</v>
      </c>
      <c r="N584" s="5">
        <f t="shared" si="61"/>
        <v>0.5</v>
      </c>
      <c r="O584" s="5">
        <f t="shared" si="62"/>
        <v>0</v>
      </c>
      <c r="P584" s="3">
        <f t="shared" si="63"/>
        <v>142857.14285714287</v>
      </c>
      <c r="Q584" s="6">
        <f t="shared" si="64"/>
        <v>0</v>
      </c>
    </row>
    <row r="585" spans="1:17" x14ac:dyDescent="0.4">
      <c r="A585" s="2">
        <v>46048</v>
      </c>
      <c r="B585" s="1" t="s">
        <v>19</v>
      </c>
      <c r="C585" s="1" t="s">
        <v>20</v>
      </c>
      <c r="D585" s="1" t="s">
        <v>34</v>
      </c>
      <c r="E585" s="7">
        <v>202836.87943262412</v>
      </c>
      <c r="F585" s="4">
        <v>4</v>
      </c>
      <c r="G585" s="4">
        <v>2</v>
      </c>
      <c r="H585" s="4">
        <v>1</v>
      </c>
      <c r="I585" s="4">
        <v>2</v>
      </c>
      <c r="J585" s="4">
        <v>40000</v>
      </c>
      <c r="K585" s="4"/>
      <c r="L585" s="4"/>
      <c r="M585" s="5">
        <f t="shared" si="60"/>
        <v>0.5</v>
      </c>
      <c r="N585" s="5">
        <f t="shared" si="61"/>
        <v>0.5</v>
      </c>
      <c r="O585" s="5">
        <f t="shared" si="62"/>
        <v>2</v>
      </c>
      <c r="P585" s="3">
        <f t="shared" si="63"/>
        <v>101418.43971631206</v>
      </c>
      <c r="Q585" s="6">
        <f t="shared" si="64"/>
        <v>2.3664335664335665</v>
      </c>
    </row>
    <row r="586" spans="1:17" x14ac:dyDescent="0.4">
      <c r="A586" s="2">
        <v>46048</v>
      </c>
      <c r="B586" s="1" t="s">
        <v>23</v>
      </c>
      <c r="C586" s="1" t="s">
        <v>37</v>
      </c>
      <c r="D586" s="1" t="s">
        <v>32</v>
      </c>
      <c r="E586" s="7">
        <v>0</v>
      </c>
      <c r="F586" s="4">
        <v>6</v>
      </c>
      <c r="G586" s="4"/>
      <c r="H586" s="4"/>
      <c r="I586" s="4"/>
      <c r="J586" s="4"/>
      <c r="K586" s="4"/>
      <c r="L586" s="4"/>
      <c r="M586" s="5">
        <f t="shared" si="60"/>
        <v>0</v>
      </c>
      <c r="N586" s="5">
        <f t="shared" si="61"/>
        <v>0</v>
      </c>
      <c r="O586" s="5">
        <f t="shared" si="62"/>
        <v>0</v>
      </c>
      <c r="P586" s="3">
        <f t="shared" si="63"/>
        <v>0</v>
      </c>
      <c r="Q586" s="6">
        <f t="shared" si="64"/>
        <v>0</v>
      </c>
    </row>
    <row r="587" spans="1:17" x14ac:dyDescent="0.4">
      <c r="A587" s="2">
        <v>46048</v>
      </c>
      <c r="B587" s="1" t="s">
        <v>21</v>
      </c>
      <c r="C587" s="1" t="s">
        <v>22</v>
      </c>
      <c r="D587" s="1" t="s">
        <v>32</v>
      </c>
      <c r="E587" s="7">
        <v>283870.96774193551</v>
      </c>
      <c r="F587" s="4">
        <v>9</v>
      </c>
      <c r="G587" s="4">
        <v>4</v>
      </c>
      <c r="H587" s="4">
        <v>4</v>
      </c>
      <c r="I587" s="4">
        <v>1</v>
      </c>
      <c r="J587" s="4">
        <v>20000</v>
      </c>
      <c r="K587" s="4">
        <v>1</v>
      </c>
      <c r="L587" s="4">
        <v>300000</v>
      </c>
      <c r="M587" s="5">
        <f t="shared" si="60"/>
        <v>1</v>
      </c>
      <c r="N587" s="5">
        <f t="shared" si="61"/>
        <v>0.44444444444444442</v>
      </c>
      <c r="O587" s="5">
        <f t="shared" si="62"/>
        <v>0.25</v>
      </c>
      <c r="P587" s="3">
        <f t="shared" si="63"/>
        <v>70967.741935483878</v>
      </c>
      <c r="Q587" s="6">
        <f t="shared" si="64"/>
        <v>0.84545454545454535</v>
      </c>
    </row>
    <row r="588" spans="1:17" x14ac:dyDescent="0.4">
      <c r="A588" s="2">
        <v>46048</v>
      </c>
      <c r="B588" s="1" t="s">
        <v>61</v>
      </c>
      <c r="C588" s="1" t="s">
        <v>64</v>
      </c>
      <c r="D588" s="1" t="s">
        <v>66</v>
      </c>
      <c r="E588" s="7">
        <v>0</v>
      </c>
      <c r="F588" s="4">
        <v>0</v>
      </c>
      <c r="G588" s="4"/>
      <c r="H588" s="4"/>
      <c r="I588" s="4"/>
      <c r="J588" s="4"/>
      <c r="K588" s="4"/>
      <c r="L588" s="4"/>
      <c r="M588" s="5">
        <f t="shared" si="60"/>
        <v>0</v>
      </c>
      <c r="N588" s="5">
        <f t="shared" si="61"/>
        <v>0</v>
      </c>
      <c r="O588" s="5">
        <f t="shared" si="62"/>
        <v>0</v>
      </c>
      <c r="P588" s="3">
        <f t="shared" si="63"/>
        <v>0</v>
      </c>
      <c r="Q588" s="6">
        <f t="shared" si="64"/>
        <v>0</v>
      </c>
    </row>
    <row r="589" spans="1:17" x14ac:dyDescent="0.4">
      <c r="A589" s="2">
        <v>46048</v>
      </c>
      <c r="B589" s="1" t="s">
        <v>42</v>
      </c>
      <c r="C589" s="1" t="s">
        <v>38</v>
      </c>
      <c r="D589" s="1" t="s">
        <v>42</v>
      </c>
      <c r="E589" s="7">
        <v>0</v>
      </c>
      <c r="F589" s="4">
        <v>0</v>
      </c>
      <c r="G589" s="4"/>
      <c r="H589" s="4"/>
      <c r="I589" s="4"/>
      <c r="J589" s="4"/>
      <c r="K589" s="4"/>
      <c r="L589" s="4"/>
      <c r="M589" s="5">
        <f t="shared" si="60"/>
        <v>0</v>
      </c>
      <c r="N589" s="5">
        <f t="shared" si="61"/>
        <v>0</v>
      </c>
      <c r="O589" s="5">
        <f t="shared" si="62"/>
        <v>0</v>
      </c>
      <c r="P589" s="3">
        <f t="shared" si="63"/>
        <v>0</v>
      </c>
      <c r="Q589" s="6">
        <f t="shared" si="64"/>
        <v>0</v>
      </c>
    </row>
    <row r="590" spans="1:17" x14ac:dyDescent="0.4">
      <c r="A590" s="2">
        <v>46048</v>
      </c>
      <c r="B590" s="1" t="s">
        <v>7</v>
      </c>
      <c r="C590" s="1" t="s">
        <v>8</v>
      </c>
      <c r="D590" s="1" t="s">
        <v>42</v>
      </c>
      <c r="E590" s="7">
        <v>0</v>
      </c>
      <c r="F590" s="4">
        <v>0</v>
      </c>
      <c r="G590" s="3">
        <v>12</v>
      </c>
      <c r="H590" s="3">
        <v>5</v>
      </c>
      <c r="I590" s="3"/>
      <c r="J590" s="3"/>
      <c r="K590" s="3"/>
      <c r="L590" s="3"/>
      <c r="M590" s="5">
        <f t="shared" si="60"/>
        <v>0.41666666666666669</v>
      </c>
      <c r="N590" s="5">
        <f t="shared" si="61"/>
        <v>0</v>
      </c>
      <c r="O590" s="5">
        <f t="shared" si="62"/>
        <v>0</v>
      </c>
      <c r="P590" s="3">
        <f t="shared" si="63"/>
        <v>0</v>
      </c>
      <c r="Q590" s="6">
        <f t="shared" si="64"/>
        <v>0</v>
      </c>
    </row>
    <row r="591" spans="1:17" x14ac:dyDescent="0.4">
      <c r="A591" s="2">
        <v>46049</v>
      </c>
      <c r="B591" s="1" t="s">
        <v>13</v>
      </c>
      <c r="C591" s="1" t="s">
        <v>14</v>
      </c>
      <c r="D591" s="1" t="s">
        <v>31</v>
      </c>
      <c r="E591" s="7">
        <v>1005107.832009082</v>
      </c>
      <c r="F591" s="4">
        <v>3</v>
      </c>
      <c r="G591" s="4">
        <v>11</v>
      </c>
      <c r="H591" s="4">
        <v>8</v>
      </c>
      <c r="I591" s="4">
        <v>6</v>
      </c>
      <c r="J591" s="4">
        <v>120000</v>
      </c>
      <c r="K591" s="4">
        <v>3</v>
      </c>
      <c r="L591" s="4">
        <v>100000</v>
      </c>
      <c r="M591" s="5">
        <f t="shared" si="60"/>
        <v>0.72727272727272729</v>
      </c>
      <c r="N591" s="5">
        <f t="shared" si="61"/>
        <v>3.6666666666666665</v>
      </c>
      <c r="O591" s="5">
        <f t="shared" si="62"/>
        <v>0.75</v>
      </c>
      <c r="P591" s="3">
        <f t="shared" si="63"/>
        <v>91373.439273552911</v>
      </c>
      <c r="Q591" s="6">
        <f t="shared" si="64"/>
        <v>1.4326821005081856</v>
      </c>
    </row>
    <row r="592" spans="1:17" x14ac:dyDescent="0.4">
      <c r="A592" s="2">
        <v>46049</v>
      </c>
      <c r="B592" s="1" t="s">
        <v>11</v>
      </c>
      <c r="C592" s="1" t="s">
        <v>12</v>
      </c>
      <c r="D592" s="1" t="s">
        <v>32</v>
      </c>
      <c r="E592" s="7">
        <v>248120.30075187972</v>
      </c>
      <c r="F592" s="4">
        <v>6</v>
      </c>
      <c r="G592" s="4">
        <v>1</v>
      </c>
      <c r="H592" s="4"/>
      <c r="I592" s="4"/>
      <c r="J592" s="4"/>
      <c r="K592" s="4"/>
      <c r="L592" s="4"/>
      <c r="M592" s="5">
        <f t="shared" si="60"/>
        <v>0</v>
      </c>
      <c r="N592" s="5">
        <f t="shared" si="61"/>
        <v>0.16666666666666666</v>
      </c>
      <c r="O592" s="5">
        <f t="shared" si="62"/>
        <v>0</v>
      </c>
      <c r="P592" s="3">
        <f t="shared" si="63"/>
        <v>248120.30075187972</v>
      </c>
      <c r="Q592" s="6">
        <f t="shared" si="64"/>
        <v>0</v>
      </c>
    </row>
    <row r="593" spans="1:17" x14ac:dyDescent="0.4">
      <c r="A593" s="2">
        <v>46049</v>
      </c>
      <c r="B593" s="1" t="s">
        <v>17</v>
      </c>
      <c r="C593" s="1" t="s">
        <v>18</v>
      </c>
      <c r="D593" s="1" t="s">
        <v>59</v>
      </c>
      <c r="E593" s="7">
        <v>177419.35483870967</v>
      </c>
      <c r="F593" s="4">
        <v>4</v>
      </c>
      <c r="G593" s="4">
        <v>1</v>
      </c>
      <c r="H593" s="4">
        <v>1</v>
      </c>
      <c r="I593" s="4">
        <v>1</v>
      </c>
      <c r="J593" s="4">
        <v>20000</v>
      </c>
      <c r="K593" s="4"/>
      <c r="L593" s="4"/>
      <c r="M593" s="5">
        <f t="shared" si="60"/>
        <v>1</v>
      </c>
      <c r="N593" s="5">
        <f t="shared" si="61"/>
        <v>0.25</v>
      </c>
      <c r="O593" s="5">
        <f t="shared" si="62"/>
        <v>1</v>
      </c>
      <c r="P593" s="3">
        <f t="shared" si="63"/>
        <v>177419.35483870967</v>
      </c>
      <c r="Q593" s="6">
        <f t="shared" si="64"/>
        <v>1.3527272727272728</v>
      </c>
    </row>
    <row r="594" spans="1:17" x14ac:dyDescent="0.4">
      <c r="A594" s="2">
        <v>46049</v>
      </c>
      <c r="B594" s="1" t="s">
        <v>25</v>
      </c>
      <c r="C594" s="1" t="s">
        <v>35</v>
      </c>
      <c r="D594" s="1" t="s">
        <v>32</v>
      </c>
      <c r="E594" s="7">
        <v>0</v>
      </c>
      <c r="F594" s="4">
        <v>4</v>
      </c>
      <c r="G594" s="4">
        <v>1</v>
      </c>
      <c r="H594" s="4">
        <v>1</v>
      </c>
      <c r="I594" s="4"/>
      <c r="J594" s="4"/>
      <c r="K594" s="4">
        <v>1</v>
      </c>
      <c r="L594" s="4">
        <v>100000</v>
      </c>
      <c r="M594" s="5">
        <f t="shared" si="60"/>
        <v>1</v>
      </c>
      <c r="N594" s="5">
        <f t="shared" si="61"/>
        <v>0.25</v>
      </c>
      <c r="O594" s="5">
        <f t="shared" si="62"/>
        <v>0</v>
      </c>
      <c r="P594" s="3">
        <f t="shared" si="63"/>
        <v>0</v>
      </c>
      <c r="Q594" s="6">
        <f t="shared" si="64"/>
        <v>0</v>
      </c>
    </row>
    <row r="595" spans="1:17" x14ac:dyDescent="0.4">
      <c r="A595" s="2">
        <v>46049</v>
      </c>
      <c r="B595" s="1" t="s">
        <v>24</v>
      </c>
      <c r="C595" s="1" t="s">
        <v>6</v>
      </c>
      <c r="D595" s="1" t="s">
        <v>69</v>
      </c>
      <c r="E595" s="7">
        <v>159802</v>
      </c>
      <c r="F595" s="4">
        <v>4</v>
      </c>
      <c r="G595" s="4">
        <v>1</v>
      </c>
      <c r="H595" s="4">
        <v>1</v>
      </c>
      <c r="I595" s="4" t="s">
        <v>68</v>
      </c>
      <c r="J595" s="4" t="s">
        <v>68</v>
      </c>
      <c r="K595" s="4" t="s">
        <v>68</v>
      </c>
      <c r="L595" s="4" t="s">
        <v>68</v>
      </c>
      <c r="M595" s="5">
        <f t="shared" si="60"/>
        <v>1</v>
      </c>
      <c r="N595" s="5">
        <f t="shared" si="61"/>
        <v>0.25</v>
      </c>
      <c r="O595" s="5">
        <f t="shared" si="62"/>
        <v>0</v>
      </c>
      <c r="P595" s="3">
        <f t="shared" si="63"/>
        <v>159802</v>
      </c>
      <c r="Q595" s="6">
        <f t="shared" si="64"/>
        <v>0</v>
      </c>
    </row>
    <row r="596" spans="1:17" x14ac:dyDescent="0.4">
      <c r="A596" s="2">
        <v>46049</v>
      </c>
      <c r="B596" s="1" t="s">
        <v>9</v>
      </c>
      <c r="C596" s="1" t="s">
        <v>6</v>
      </c>
      <c r="D596" s="1" t="s">
        <v>70</v>
      </c>
      <c r="E596" s="7">
        <v>319603</v>
      </c>
      <c r="F596" s="4">
        <v>8</v>
      </c>
      <c r="G596" s="4">
        <v>7</v>
      </c>
      <c r="H596" s="4">
        <v>1</v>
      </c>
      <c r="I596" s="4">
        <v>2</v>
      </c>
      <c r="J596" s="4">
        <v>50000</v>
      </c>
      <c r="K596" s="4">
        <v>2</v>
      </c>
      <c r="L596" s="4">
        <v>40000</v>
      </c>
      <c r="M596" s="5">
        <f t="shared" si="60"/>
        <v>0.14285714285714285</v>
      </c>
      <c r="N596" s="5">
        <f t="shared" si="61"/>
        <v>0.875</v>
      </c>
      <c r="O596" s="5">
        <f t="shared" si="62"/>
        <v>2</v>
      </c>
      <c r="P596" s="3">
        <f t="shared" si="63"/>
        <v>45657.571428571428</v>
      </c>
      <c r="Q596" s="6">
        <f t="shared" si="64"/>
        <v>1.8773290613667581</v>
      </c>
    </row>
    <row r="597" spans="1:17" x14ac:dyDescent="0.4">
      <c r="A597" s="2">
        <v>46049</v>
      </c>
      <c r="B597" s="1" t="s">
        <v>15</v>
      </c>
      <c r="C597" s="1" t="s">
        <v>6</v>
      </c>
      <c r="D597" s="1" t="s">
        <v>44</v>
      </c>
      <c r="E597" s="7">
        <v>359553</v>
      </c>
      <c r="F597" s="4">
        <v>9</v>
      </c>
      <c r="G597" s="4">
        <v>2</v>
      </c>
      <c r="H597" s="4">
        <v>1</v>
      </c>
      <c r="I597" s="4">
        <v>1</v>
      </c>
      <c r="J597" s="4">
        <v>30000</v>
      </c>
      <c r="K597" s="4" t="s">
        <v>68</v>
      </c>
      <c r="L597" s="4" t="s">
        <v>68</v>
      </c>
      <c r="M597" s="5">
        <f t="shared" si="60"/>
        <v>0.5</v>
      </c>
      <c r="N597" s="5">
        <f t="shared" si="61"/>
        <v>0.22222222222222221</v>
      </c>
      <c r="O597" s="5">
        <f t="shared" si="62"/>
        <v>1</v>
      </c>
      <c r="P597" s="3">
        <f t="shared" si="63"/>
        <v>179776.5</v>
      </c>
      <c r="Q597" s="6">
        <f t="shared" si="64"/>
        <v>1.0012432103194799</v>
      </c>
    </row>
    <row r="598" spans="1:17" x14ac:dyDescent="0.4">
      <c r="A598" s="2">
        <v>46049</v>
      </c>
      <c r="B598" s="1" t="s">
        <v>10</v>
      </c>
      <c r="C598" s="1" t="s">
        <v>6</v>
      </c>
      <c r="D598" s="1" t="s">
        <v>33</v>
      </c>
      <c r="E598" s="7">
        <v>279653</v>
      </c>
      <c r="F598" s="4">
        <v>7</v>
      </c>
      <c r="G598" s="4" t="s">
        <v>68</v>
      </c>
      <c r="H598" s="4" t="s">
        <v>68</v>
      </c>
      <c r="I598" s="4" t="s">
        <v>68</v>
      </c>
      <c r="J598" s="4" t="s">
        <v>68</v>
      </c>
      <c r="K598" s="4" t="s">
        <v>68</v>
      </c>
      <c r="L598" s="4" t="s">
        <v>68</v>
      </c>
      <c r="M598" s="5">
        <f t="shared" si="60"/>
        <v>0</v>
      </c>
      <c r="N598" s="5">
        <f t="shared" si="61"/>
        <v>0</v>
      </c>
      <c r="O598" s="5">
        <f t="shared" si="62"/>
        <v>0</v>
      </c>
      <c r="P598" s="3">
        <f t="shared" si="63"/>
        <v>0</v>
      </c>
      <c r="Q598" s="6">
        <f t="shared" si="64"/>
        <v>0</v>
      </c>
    </row>
    <row r="599" spans="1:17" x14ac:dyDescent="0.4">
      <c r="A599" s="2">
        <v>46049</v>
      </c>
      <c r="B599" s="1" t="s">
        <v>74</v>
      </c>
      <c r="C599" s="1" t="s">
        <v>6</v>
      </c>
      <c r="D599" s="1" t="s">
        <v>71</v>
      </c>
      <c r="E599" s="7">
        <v>159802</v>
      </c>
      <c r="F599" s="4">
        <v>4</v>
      </c>
      <c r="G599" s="4">
        <v>1</v>
      </c>
      <c r="H599" s="4">
        <v>1</v>
      </c>
      <c r="I599" s="4">
        <v>1</v>
      </c>
      <c r="J599" s="4">
        <v>30000</v>
      </c>
      <c r="K599" s="4" t="s">
        <v>68</v>
      </c>
      <c r="L599" s="4" t="s">
        <v>68</v>
      </c>
      <c r="M599" s="5">
        <f t="shared" si="60"/>
        <v>1</v>
      </c>
      <c r="N599" s="5">
        <f t="shared" si="61"/>
        <v>0.25</v>
      </c>
      <c r="O599" s="5">
        <f t="shared" si="62"/>
        <v>1</v>
      </c>
      <c r="P599" s="3">
        <f t="shared" si="63"/>
        <v>159802</v>
      </c>
      <c r="Q599" s="6">
        <f t="shared" si="64"/>
        <v>2.2527878249333551</v>
      </c>
    </row>
    <row r="600" spans="1:17" x14ac:dyDescent="0.4">
      <c r="A600" s="2">
        <v>46049</v>
      </c>
      <c r="B600" s="1" t="s">
        <v>75</v>
      </c>
      <c r="C600" s="1" t="s">
        <v>6</v>
      </c>
      <c r="D600" s="1" t="s">
        <v>72</v>
      </c>
      <c r="E600" s="7">
        <v>159802</v>
      </c>
      <c r="F600" s="4">
        <v>4</v>
      </c>
      <c r="G600" s="4">
        <v>1</v>
      </c>
      <c r="H600" s="4">
        <v>1</v>
      </c>
      <c r="I600" s="4" t="s">
        <v>68</v>
      </c>
      <c r="J600" s="4" t="s">
        <v>68</v>
      </c>
      <c r="K600" s="4" t="s">
        <v>68</v>
      </c>
      <c r="L600" s="4" t="s">
        <v>68</v>
      </c>
      <c r="M600" s="5">
        <f t="shared" si="60"/>
        <v>1</v>
      </c>
      <c r="N600" s="5">
        <f t="shared" si="61"/>
        <v>0.25</v>
      </c>
      <c r="O600" s="5">
        <f t="shared" si="62"/>
        <v>0</v>
      </c>
      <c r="P600" s="3">
        <f t="shared" si="63"/>
        <v>159802</v>
      </c>
      <c r="Q600" s="6">
        <f t="shared" si="64"/>
        <v>0</v>
      </c>
    </row>
    <row r="601" spans="1:17" x14ac:dyDescent="0.4">
      <c r="A601" s="2">
        <v>46049</v>
      </c>
      <c r="B601" s="1" t="s">
        <v>5</v>
      </c>
      <c r="C601" s="1" t="s">
        <v>6</v>
      </c>
      <c r="D601" s="1" t="s">
        <v>52</v>
      </c>
      <c r="E601" s="7">
        <v>279653</v>
      </c>
      <c r="F601" s="4">
        <v>7</v>
      </c>
      <c r="G601" s="4">
        <v>5</v>
      </c>
      <c r="H601" s="4">
        <v>4</v>
      </c>
      <c r="I601" s="4">
        <v>1</v>
      </c>
      <c r="J601" s="4">
        <v>20000</v>
      </c>
      <c r="K601" s="4" t="s">
        <v>68</v>
      </c>
      <c r="L601" s="4" t="s">
        <v>68</v>
      </c>
      <c r="M601" s="5">
        <f t="shared" si="60"/>
        <v>0.8</v>
      </c>
      <c r="N601" s="5">
        <f t="shared" si="61"/>
        <v>0.7142857142857143</v>
      </c>
      <c r="O601" s="5">
        <f t="shared" si="62"/>
        <v>0.25</v>
      </c>
      <c r="P601" s="3">
        <f t="shared" si="63"/>
        <v>55930.6</v>
      </c>
      <c r="Q601" s="6">
        <f t="shared" si="64"/>
        <v>0.85820642009919434</v>
      </c>
    </row>
    <row r="602" spans="1:17" x14ac:dyDescent="0.4">
      <c r="A602" s="2">
        <v>46049</v>
      </c>
      <c r="B602" s="1" t="s">
        <v>26</v>
      </c>
      <c r="C602" s="1" t="s">
        <v>36</v>
      </c>
      <c r="D602" s="1" t="s">
        <v>52</v>
      </c>
      <c r="E602" s="7">
        <v>0</v>
      </c>
      <c r="F602" s="4">
        <v>2</v>
      </c>
      <c r="G602" s="4"/>
      <c r="H602" s="4"/>
      <c r="I602" s="4"/>
      <c r="J602" s="4"/>
      <c r="K602" s="4"/>
      <c r="L602" s="4"/>
      <c r="M602" s="5">
        <f t="shared" si="60"/>
        <v>0</v>
      </c>
      <c r="N602" s="5">
        <f t="shared" si="61"/>
        <v>0</v>
      </c>
      <c r="O602" s="5">
        <f t="shared" si="62"/>
        <v>0</v>
      </c>
      <c r="P602" s="3">
        <f t="shared" si="63"/>
        <v>0</v>
      </c>
      <c r="Q602" s="6">
        <f t="shared" si="64"/>
        <v>0</v>
      </c>
    </row>
    <row r="603" spans="1:17" x14ac:dyDescent="0.4">
      <c r="A603" s="2">
        <v>46049</v>
      </c>
      <c r="B603" s="1" t="s">
        <v>51</v>
      </c>
      <c r="C603" s="1" t="s">
        <v>50</v>
      </c>
      <c r="D603" s="1" t="s">
        <v>54</v>
      </c>
      <c r="E603" s="7">
        <v>428571.42857142858</v>
      </c>
      <c r="F603" s="4">
        <v>3</v>
      </c>
      <c r="G603" s="4">
        <v>2</v>
      </c>
      <c r="H603" s="4">
        <v>1</v>
      </c>
      <c r="I603" s="4">
        <v>1</v>
      </c>
      <c r="J603" s="4">
        <v>20000</v>
      </c>
      <c r="K603" s="4"/>
      <c r="L603" s="4"/>
      <c r="M603" s="5">
        <f t="shared" si="60"/>
        <v>0.5</v>
      </c>
      <c r="N603" s="5">
        <f t="shared" si="61"/>
        <v>0.66666666666666663</v>
      </c>
      <c r="O603" s="5">
        <f t="shared" si="62"/>
        <v>1</v>
      </c>
      <c r="P603" s="3">
        <f t="shared" si="63"/>
        <v>214285.71428571429</v>
      </c>
      <c r="Q603" s="6">
        <f t="shared" si="64"/>
        <v>0.55999999999999994</v>
      </c>
    </row>
    <row r="604" spans="1:17" x14ac:dyDescent="0.4">
      <c r="A604" s="2">
        <v>46049</v>
      </c>
      <c r="B604" s="1" t="s">
        <v>19</v>
      </c>
      <c r="C604" s="1" t="s">
        <v>20</v>
      </c>
      <c r="D604" s="1" t="s">
        <v>34</v>
      </c>
      <c r="E604" s="7">
        <v>148226.95035460993</v>
      </c>
      <c r="F604" s="4">
        <v>4</v>
      </c>
      <c r="G604" s="4">
        <v>2</v>
      </c>
      <c r="H604" s="4"/>
      <c r="I604" s="4"/>
      <c r="J604" s="4"/>
      <c r="K604" s="4"/>
      <c r="L604" s="4"/>
      <c r="M604" s="5">
        <f t="shared" si="60"/>
        <v>0</v>
      </c>
      <c r="N604" s="5">
        <f t="shared" si="61"/>
        <v>0.5</v>
      </c>
      <c r="O604" s="5">
        <f t="shared" si="62"/>
        <v>0</v>
      </c>
      <c r="P604" s="3">
        <f t="shared" si="63"/>
        <v>74113.475177304965</v>
      </c>
      <c r="Q604" s="6">
        <f t="shared" si="64"/>
        <v>0</v>
      </c>
    </row>
    <row r="605" spans="1:17" x14ac:dyDescent="0.4">
      <c r="A605" s="2">
        <v>46049</v>
      </c>
      <c r="B605" s="1" t="s">
        <v>23</v>
      </c>
      <c r="C605" s="1" t="s">
        <v>37</v>
      </c>
      <c r="D605" s="1" t="s">
        <v>32</v>
      </c>
      <c r="E605" s="7">
        <v>0</v>
      </c>
      <c r="F605" s="4">
        <v>6</v>
      </c>
      <c r="G605" s="4"/>
      <c r="H605" s="4"/>
      <c r="I605" s="4"/>
      <c r="J605" s="4"/>
      <c r="K605" s="4"/>
      <c r="L605" s="4"/>
      <c r="M605" s="5">
        <f t="shared" si="60"/>
        <v>0</v>
      </c>
      <c r="N605" s="5">
        <f t="shared" si="61"/>
        <v>0</v>
      </c>
      <c r="O605" s="5">
        <f t="shared" si="62"/>
        <v>0</v>
      </c>
      <c r="P605" s="3">
        <f t="shared" si="63"/>
        <v>0</v>
      </c>
      <c r="Q605" s="6">
        <f t="shared" si="64"/>
        <v>0</v>
      </c>
    </row>
    <row r="606" spans="1:17" x14ac:dyDescent="0.4">
      <c r="A606" s="2">
        <v>46049</v>
      </c>
      <c r="B606" s="1" t="s">
        <v>21</v>
      </c>
      <c r="C606" s="1" t="s">
        <v>22</v>
      </c>
      <c r="D606" s="1" t="s">
        <v>32</v>
      </c>
      <c r="E606" s="7">
        <v>283870.96774193551</v>
      </c>
      <c r="F606" s="4">
        <v>9</v>
      </c>
      <c r="G606" s="4">
        <v>5</v>
      </c>
      <c r="H606" s="4">
        <v>4</v>
      </c>
      <c r="I606" s="4">
        <v>1</v>
      </c>
      <c r="J606" s="4">
        <v>20000</v>
      </c>
      <c r="K606" s="4">
        <v>3</v>
      </c>
      <c r="L606" s="4">
        <v>70000</v>
      </c>
      <c r="M606" s="5">
        <f t="shared" si="60"/>
        <v>0.8</v>
      </c>
      <c r="N606" s="5">
        <f t="shared" si="61"/>
        <v>0.55555555555555558</v>
      </c>
      <c r="O606" s="5">
        <f t="shared" si="62"/>
        <v>0.25</v>
      </c>
      <c r="P606" s="3">
        <f t="shared" si="63"/>
        <v>56774.193548387106</v>
      </c>
      <c r="Q606" s="6">
        <f t="shared" si="64"/>
        <v>0.84545454545454535</v>
      </c>
    </row>
    <row r="607" spans="1:17" x14ac:dyDescent="0.4">
      <c r="A607" s="2">
        <v>46049</v>
      </c>
      <c r="B607" s="1" t="s">
        <v>61</v>
      </c>
      <c r="C607" s="1" t="s">
        <v>64</v>
      </c>
      <c r="D607" s="1" t="s">
        <v>66</v>
      </c>
      <c r="E607" s="7">
        <v>0</v>
      </c>
      <c r="F607" s="4">
        <v>0</v>
      </c>
      <c r="G607" s="4"/>
      <c r="H607" s="4"/>
      <c r="I607" s="4"/>
      <c r="J607" s="4"/>
      <c r="K607" s="4"/>
      <c r="L607" s="4"/>
      <c r="M607" s="5">
        <f t="shared" si="60"/>
        <v>0</v>
      </c>
      <c r="N607" s="5">
        <f t="shared" si="61"/>
        <v>0</v>
      </c>
      <c r="O607" s="5">
        <f t="shared" si="62"/>
        <v>0</v>
      </c>
      <c r="P607" s="3">
        <f t="shared" si="63"/>
        <v>0</v>
      </c>
      <c r="Q607" s="6">
        <f t="shared" si="64"/>
        <v>0</v>
      </c>
    </row>
    <row r="608" spans="1:17" x14ac:dyDescent="0.4">
      <c r="A608" s="2">
        <v>46049</v>
      </c>
      <c r="B608" s="1" t="s">
        <v>42</v>
      </c>
      <c r="C608" s="1" t="s">
        <v>38</v>
      </c>
      <c r="D608" s="1" t="s">
        <v>42</v>
      </c>
      <c r="E608" s="7">
        <v>0</v>
      </c>
      <c r="F608" s="4">
        <v>0</v>
      </c>
      <c r="G608" s="4"/>
      <c r="H608" s="4"/>
      <c r="I608" s="4"/>
      <c r="J608" s="4"/>
      <c r="K608" s="4"/>
      <c r="L608" s="4"/>
      <c r="M608" s="5">
        <f t="shared" si="60"/>
        <v>0</v>
      </c>
      <c r="N608" s="5">
        <f t="shared" si="61"/>
        <v>0</v>
      </c>
      <c r="O608" s="5">
        <f t="shared" si="62"/>
        <v>0</v>
      </c>
      <c r="P608" s="3">
        <f t="shared" si="63"/>
        <v>0</v>
      </c>
      <c r="Q608" s="6">
        <f t="shared" si="64"/>
        <v>0</v>
      </c>
    </row>
    <row r="609" spans="1:17" x14ac:dyDescent="0.4">
      <c r="A609" s="2">
        <v>46049</v>
      </c>
      <c r="B609" s="1" t="s">
        <v>7</v>
      </c>
      <c r="C609" s="1" t="s">
        <v>8</v>
      </c>
      <c r="D609" s="1" t="s">
        <v>42</v>
      </c>
      <c r="E609" s="7">
        <v>0</v>
      </c>
      <c r="F609" s="4">
        <v>0</v>
      </c>
      <c r="G609" s="3">
        <v>7</v>
      </c>
      <c r="H609" s="3">
        <v>1</v>
      </c>
      <c r="I609" s="3"/>
      <c r="J609" s="3"/>
      <c r="K609" s="3"/>
      <c r="L609" s="3"/>
      <c r="M609" s="5">
        <f t="shared" si="60"/>
        <v>0.14285714285714285</v>
      </c>
      <c r="N609" s="5">
        <f t="shared" si="61"/>
        <v>0</v>
      </c>
      <c r="O609" s="5">
        <f t="shared" si="62"/>
        <v>0</v>
      </c>
      <c r="P609" s="3">
        <f t="shared" si="63"/>
        <v>0</v>
      </c>
      <c r="Q609" s="6">
        <f t="shared" si="64"/>
        <v>0</v>
      </c>
    </row>
    <row r="610" spans="1:17" x14ac:dyDescent="0.4">
      <c r="A610" s="2">
        <v>46050</v>
      </c>
      <c r="B610" s="1" t="s">
        <v>13</v>
      </c>
      <c r="C610" s="1" t="s">
        <v>14</v>
      </c>
      <c r="D610" s="1" t="s">
        <v>31</v>
      </c>
      <c r="E610" s="7">
        <v>1005107.832009082</v>
      </c>
      <c r="F610" s="4">
        <v>3</v>
      </c>
      <c r="G610" s="4">
        <v>13</v>
      </c>
      <c r="H610" s="4">
        <v>8</v>
      </c>
      <c r="I610" s="4">
        <v>6</v>
      </c>
      <c r="J610" s="4">
        <v>140000</v>
      </c>
      <c r="K610" s="4">
        <v>1</v>
      </c>
      <c r="L610" s="4">
        <v>240000</v>
      </c>
      <c r="M610" s="5">
        <f t="shared" si="60"/>
        <v>0.61538461538461542</v>
      </c>
      <c r="N610" s="5">
        <f t="shared" si="61"/>
        <v>4.333333333333333</v>
      </c>
      <c r="O610" s="5">
        <f t="shared" si="62"/>
        <v>0.75</v>
      </c>
      <c r="P610" s="3">
        <f t="shared" si="63"/>
        <v>77315.987077621685</v>
      </c>
      <c r="Q610" s="6">
        <f t="shared" si="64"/>
        <v>1.671462450592883</v>
      </c>
    </row>
    <row r="611" spans="1:17" x14ac:dyDescent="0.4">
      <c r="A611" s="2">
        <v>46050</v>
      </c>
      <c r="B611" s="1" t="s">
        <v>11</v>
      </c>
      <c r="C611" s="1" t="s">
        <v>12</v>
      </c>
      <c r="D611" s="1" t="s">
        <v>32</v>
      </c>
      <c r="E611" s="7">
        <v>165413.53383458647</v>
      </c>
      <c r="F611" s="4">
        <v>4</v>
      </c>
      <c r="G611" s="4">
        <v>2</v>
      </c>
      <c r="H611" s="4"/>
      <c r="I611" s="4"/>
      <c r="J611" s="4"/>
      <c r="K611" s="4"/>
      <c r="L611" s="4"/>
      <c r="M611" s="5">
        <f t="shared" si="60"/>
        <v>0</v>
      </c>
      <c r="N611" s="5">
        <f t="shared" si="61"/>
        <v>0.5</v>
      </c>
      <c r="O611" s="5">
        <f t="shared" si="62"/>
        <v>0</v>
      </c>
      <c r="P611" s="3">
        <f t="shared" si="63"/>
        <v>82706.766917293236</v>
      </c>
      <c r="Q611" s="6">
        <f t="shared" si="64"/>
        <v>0</v>
      </c>
    </row>
    <row r="612" spans="1:17" x14ac:dyDescent="0.4">
      <c r="A612" s="2">
        <v>46050</v>
      </c>
      <c r="B612" s="1" t="s">
        <v>17</v>
      </c>
      <c r="C612" s="1" t="s">
        <v>18</v>
      </c>
      <c r="D612" s="1" t="s">
        <v>59</v>
      </c>
      <c r="E612" s="7">
        <v>177419.35483870967</v>
      </c>
      <c r="F612" s="4">
        <v>4</v>
      </c>
      <c r="G612" s="4"/>
      <c r="H612" s="4"/>
      <c r="I612" s="4"/>
      <c r="J612" s="4"/>
      <c r="K612" s="4"/>
      <c r="L612" s="4"/>
      <c r="M612" s="5">
        <f t="shared" si="60"/>
        <v>0</v>
      </c>
      <c r="N612" s="5">
        <f t="shared" si="61"/>
        <v>0</v>
      </c>
      <c r="O612" s="5">
        <f t="shared" si="62"/>
        <v>0</v>
      </c>
      <c r="P612" s="3">
        <f t="shared" si="63"/>
        <v>0</v>
      </c>
      <c r="Q612" s="6">
        <f t="shared" si="64"/>
        <v>0</v>
      </c>
    </row>
    <row r="613" spans="1:17" x14ac:dyDescent="0.4">
      <c r="A613" s="2">
        <v>46050</v>
      </c>
      <c r="B613" s="1" t="s">
        <v>25</v>
      </c>
      <c r="C613" s="1" t="s">
        <v>35</v>
      </c>
      <c r="D613" s="1" t="s">
        <v>32</v>
      </c>
      <c r="E613" s="7">
        <v>0</v>
      </c>
      <c r="F613" s="4">
        <v>4</v>
      </c>
      <c r="G613" s="4"/>
      <c r="H613" s="4"/>
      <c r="I613" s="4"/>
      <c r="J613" s="4"/>
      <c r="K613" s="4"/>
      <c r="L613" s="4"/>
      <c r="M613" s="5">
        <f t="shared" si="60"/>
        <v>0</v>
      </c>
      <c r="N613" s="5">
        <f t="shared" si="61"/>
        <v>0</v>
      </c>
      <c r="O613" s="5">
        <f t="shared" si="62"/>
        <v>0</v>
      </c>
      <c r="P613" s="3">
        <f t="shared" si="63"/>
        <v>0</v>
      </c>
      <c r="Q613" s="6">
        <f t="shared" si="64"/>
        <v>0</v>
      </c>
    </row>
    <row r="614" spans="1:17" x14ac:dyDescent="0.4">
      <c r="A614" s="2">
        <v>46050</v>
      </c>
      <c r="B614" s="1" t="s">
        <v>24</v>
      </c>
      <c r="C614" s="1" t="s">
        <v>6</v>
      </c>
      <c r="D614" s="1" t="s">
        <v>69</v>
      </c>
      <c r="E614" s="7">
        <v>160668</v>
      </c>
      <c r="F614" s="4">
        <v>4</v>
      </c>
      <c r="G614" s="4">
        <v>4</v>
      </c>
      <c r="H614" s="4">
        <v>3</v>
      </c>
      <c r="I614" s="4">
        <v>2</v>
      </c>
      <c r="J614" s="4">
        <v>60000</v>
      </c>
      <c r="K614" s="4" t="s">
        <v>68</v>
      </c>
      <c r="L614" s="4" t="s">
        <v>68</v>
      </c>
      <c r="M614" s="5">
        <f t="shared" si="60"/>
        <v>0.75</v>
      </c>
      <c r="N614" s="5">
        <f t="shared" si="61"/>
        <v>1</v>
      </c>
      <c r="O614" s="5">
        <f t="shared" si="62"/>
        <v>0.66666666666666663</v>
      </c>
      <c r="P614" s="3">
        <f t="shared" si="63"/>
        <v>40167</v>
      </c>
      <c r="Q614" s="6">
        <f t="shared" si="64"/>
        <v>4.4812906116961688</v>
      </c>
    </row>
    <row r="615" spans="1:17" x14ac:dyDescent="0.4">
      <c r="A615" s="2">
        <v>46050</v>
      </c>
      <c r="B615" s="1" t="s">
        <v>9</v>
      </c>
      <c r="C615" s="1" t="s">
        <v>6</v>
      </c>
      <c r="D615" s="1" t="s">
        <v>70</v>
      </c>
      <c r="E615" s="7">
        <v>361504</v>
      </c>
      <c r="F615" s="4">
        <v>9</v>
      </c>
      <c r="G615" s="4">
        <v>1</v>
      </c>
      <c r="H615" s="4">
        <v>1</v>
      </c>
      <c r="I615" s="4">
        <v>1</v>
      </c>
      <c r="J615" s="4">
        <v>20000</v>
      </c>
      <c r="K615" s="4" t="s">
        <v>68</v>
      </c>
      <c r="L615" s="4" t="s">
        <v>68</v>
      </c>
      <c r="M615" s="5">
        <f t="shared" si="60"/>
        <v>1</v>
      </c>
      <c r="N615" s="5">
        <f t="shared" si="61"/>
        <v>0.1111111111111111</v>
      </c>
      <c r="O615" s="5">
        <f t="shared" si="62"/>
        <v>1</v>
      </c>
      <c r="P615" s="3">
        <f t="shared" si="63"/>
        <v>361504</v>
      </c>
      <c r="Q615" s="6">
        <f t="shared" si="64"/>
        <v>0.66389306895636013</v>
      </c>
    </row>
    <row r="616" spans="1:17" x14ac:dyDescent="0.4">
      <c r="A616" s="2">
        <v>46050</v>
      </c>
      <c r="B616" s="1" t="s">
        <v>15</v>
      </c>
      <c r="C616" s="1" t="s">
        <v>6</v>
      </c>
      <c r="D616" s="1" t="s">
        <v>44</v>
      </c>
      <c r="E616" s="7">
        <v>361504</v>
      </c>
      <c r="F616" s="4">
        <v>9</v>
      </c>
      <c r="G616" s="4">
        <v>2</v>
      </c>
      <c r="H616" s="4">
        <v>1</v>
      </c>
      <c r="I616" s="4">
        <v>1</v>
      </c>
      <c r="J616" s="4">
        <v>30000</v>
      </c>
      <c r="K616" s="4" t="s">
        <v>68</v>
      </c>
      <c r="L616" s="4" t="s">
        <v>68</v>
      </c>
      <c r="M616" s="5">
        <f t="shared" si="60"/>
        <v>0.5</v>
      </c>
      <c r="N616" s="5">
        <f t="shared" si="61"/>
        <v>0.22222222222222221</v>
      </c>
      <c r="O616" s="5">
        <f t="shared" si="62"/>
        <v>1</v>
      </c>
      <c r="P616" s="3">
        <f t="shared" si="63"/>
        <v>180752</v>
      </c>
      <c r="Q616" s="6">
        <f t="shared" si="64"/>
        <v>0.99583960343454014</v>
      </c>
    </row>
    <row r="617" spans="1:17" x14ac:dyDescent="0.4">
      <c r="A617" s="2">
        <v>46050</v>
      </c>
      <c r="B617" s="1" t="s">
        <v>10</v>
      </c>
      <c r="C617" s="1" t="s">
        <v>6</v>
      </c>
      <c r="D617" s="1" t="s">
        <v>33</v>
      </c>
      <c r="E617" s="7">
        <v>281170</v>
      </c>
      <c r="F617" s="4">
        <v>7</v>
      </c>
      <c r="G617" s="4" t="s">
        <v>68</v>
      </c>
      <c r="H617" s="4" t="s">
        <v>68</v>
      </c>
      <c r="I617" s="4" t="s">
        <v>68</v>
      </c>
      <c r="J617" s="4" t="s">
        <v>68</v>
      </c>
      <c r="K617" s="4" t="s">
        <v>68</v>
      </c>
      <c r="L617" s="4" t="s">
        <v>68</v>
      </c>
      <c r="M617" s="5">
        <f t="shared" si="60"/>
        <v>0</v>
      </c>
      <c r="N617" s="5">
        <f t="shared" si="61"/>
        <v>0</v>
      </c>
      <c r="O617" s="5">
        <f t="shared" si="62"/>
        <v>0</v>
      </c>
      <c r="P617" s="3">
        <f t="shared" si="63"/>
        <v>0</v>
      </c>
      <c r="Q617" s="6">
        <f t="shared" si="64"/>
        <v>0</v>
      </c>
    </row>
    <row r="618" spans="1:17" x14ac:dyDescent="0.4">
      <c r="A618" s="2">
        <v>46050</v>
      </c>
      <c r="B618" s="1" t="s">
        <v>74</v>
      </c>
      <c r="C618" s="1" t="s">
        <v>6</v>
      </c>
      <c r="D618" s="1" t="s">
        <v>71</v>
      </c>
      <c r="E618" s="7">
        <v>160668</v>
      </c>
      <c r="F618" s="4">
        <v>4</v>
      </c>
      <c r="G618" s="4" t="s">
        <v>68</v>
      </c>
      <c r="H618" s="4" t="s">
        <v>68</v>
      </c>
      <c r="I618" s="4" t="s">
        <v>68</v>
      </c>
      <c r="J618" s="4" t="s">
        <v>68</v>
      </c>
      <c r="K618" s="4" t="s">
        <v>68</v>
      </c>
      <c r="L618" s="4" t="s">
        <v>68</v>
      </c>
      <c r="M618" s="5">
        <f t="shared" si="60"/>
        <v>0</v>
      </c>
      <c r="N618" s="5">
        <f t="shared" si="61"/>
        <v>0</v>
      </c>
      <c r="O618" s="5">
        <f t="shared" si="62"/>
        <v>0</v>
      </c>
      <c r="P618" s="3">
        <f t="shared" si="63"/>
        <v>0</v>
      </c>
      <c r="Q618" s="6">
        <f t="shared" si="64"/>
        <v>0</v>
      </c>
    </row>
    <row r="619" spans="1:17" x14ac:dyDescent="0.4">
      <c r="A619" s="2">
        <v>46050</v>
      </c>
      <c r="B619" s="1" t="s">
        <v>55</v>
      </c>
      <c r="C619" s="1" t="s">
        <v>6</v>
      </c>
      <c r="D619" s="1" t="s">
        <v>43</v>
      </c>
      <c r="E619" s="7">
        <v>160668</v>
      </c>
      <c r="F619" s="4">
        <v>4</v>
      </c>
      <c r="G619" s="4">
        <v>2</v>
      </c>
      <c r="H619" s="4">
        <v>2</v>
      </c>
      <c r="I619" s="4">
        <v>2</v>
      </c>
      <c r="J619" s="4">
        <v>40000</v>
      </c>
      <c r="K619" s="4" t="s">
        <v>68</v>
      </c>
      <c r="L619" s="4" t="s">
        <v>68</v>
      </c>
      <c r="M619" s="5">
        <f t="shared" si="60"/>
        <v>1</v>
      </c>
      <c r="N619" s="5">
        <f t="shared" si="61"/>
        <v>0.5</v>
      </c>
      <c r="O619" s="5">
        <f t="shared" si="62"/>
        <v>1</v>
      </c>
      <c r="P619" s="3">
        <f t="shared" si="63"/>
        <v>80334</v>
      </c>
      <c r="Q619" s="6">
        <f t="shared" si="64"/>
        <v>2.9875270744641123</v>
      </c>
    </row>
    <row r="620" spans="1:17" x14ac:dyDescent="0.4">
      <c r="A620" s="2">
        <v>46050</v>
      </c>
      <c r="B620" s="1" t="s">
        <v>5</v>
      </c>
      <c r="C620" s="1" t="s">
        <v>6</v>
      </c>
      <c r="D620" s="1" t="s">
        <v>52</v>
      </c>
      <c r="E620" s="7">
        <v>281170</v>
      </c>
      <c r="F620" s="4">
        <v>7</v>
      </c>
      <c r="G620" s="4">
        <v>2</v>
      </c>
      <c r="H620" s="4">
        <v>2</v>
      </c>
      <c r="I620" s="4">
        <v>2</v>
      </c>
      <c r="J620" s="4">
        <v>45000</v>
      </c>
      <c r="K620" s="4" t="s">
        <v>68</v>
      </c>
      <c r="L620" s="4" t="s">
        <v>68</v>
      </c>
      <c r="M620" s="5">
        <f t="shared" si="60"/>
        <v>1</v>
      </c>
      <c r="N620" s="5">
        <f t="shared" si="61"/>
        <v>0.2857142857142857</v>
      </c>
      <c r="O620" s="5">
        <f t="shared" si="62"/>
        <v>1</v>
      </c>
      <c r="P620" s="3">
        <f t="shared" si="63"/>
        <v>140585</v>
      </c>
      <c r="Q620" s="6">
        <f t="shared" si="64"/>
        <v>1.9205462887221254</v>
      </c>
    </row>
    <row r="621" spans="1:17" x14ac:dyDescent="0.4">
      <c r="A621" s="2">
        <v>46050</v>
      </c>
      <c r="B621" s="1" t="s">
        <v>26</v>
      </c>
      <c r="C621" s="1" t="s">
        <v>36</v>
      </c>
      <c r="D621" s="1" t="s">
        <v>52</v>
      </c>
      <c r="E621" s="7">
        <v>0</v>
      </c>
      <c r="F621" s="4">
        <v>2</v>
      </c>
      <c r="G621" s="4"/>
      <c r="H621" s="4"/>
      <c r="I621" s="4"/>
      <c r="J621" s="4"/>
      <c r="K621" s="4"/>
      <c r="L621" s="4"/>
      <c r="M621" s="5">
        <f t="shared" si="60"/>
        <v>0</v>
      </c>
      <c r="N621" s="5">
        <f t="shared" si="61"/>
        <v>0</v>
      </c>
      <c r="O621" s="5">
        <f t="shared" si="62"/>
        <v>0</v>
      </c>
      <c r="P621" s="3">
        <f t="shared" si="63"/>
        <v>0</v>
      </c>
      <c r="Q621" s="6">
        <f t="shared" si="64"/>
        <v>0</v>
      </c>
    </row>
    <row r="622" spans="1:17" x14ac:dyDescent="0.4">
      <c r="A622" s="2">
        <v>46050</v>
      </c>
      <c r="B622" s="1" t="s">
        <v>51</v>
      </c>
      <c r="C622" s="1" t="s">
        <v>50</v>
      </c>
      <c r="D622" s="1" t="s">
        <v>54</v>
      </c>
      <c r="E622" s="7">
        <v>428571.42857142858</v>
      </c>
      <c r="F622" s="4">
        <v>3</v>
      </c>
      <c r="G622" s="4"/>
      <c r="H622" s="4"/>
      <c r="I622" s="4"/>
      <c r="J622" s="4"/>
      <c r="K622" s="4"/>
      <c r="L622" s="4"/>
      <c r="M622" s="5">
        <f t="shared" si="60"/>
        <v>0</v>
      </c>
      <c r="N622" s="5">
        <f t="shared" si="61"/>
        <v>0</v>
      </c>
      <c r="O622" s="5">
        <f t="shared" si="62"/>
        <v>0</v>
      </c>
      <c r="P622" s="3">
        <f t="shared" si="63"/>
        <v>0</v>
      </c>
      <c r="Q622" s="6">
        <f t="shared" si="64"/>
        <v>0</v>
      </c>
    </row>
    <row r="623" spans="1:17" x14ac:dyDescent="0.4">
      <c r="A623" s="2">
        <v>46050</v>
      </c>
      <c r="B623" s="1" t="s">
        <v>19</v>
      </c>
      <c r="C623" s="1" t="s">
        <v>20</v>
      </c>
      <c r="D623" s="1" t="s">
        <v>34</v>
      </c>
      <c r="E623" s="7">
        <v>210638.29787234045</v>
      </c>
      <c r="F623" s="4">
        <v>4</v>
      </c>
      <c r="G623" s="4"/>
      <c r="H623" s="4"/>
      <c r="I623" s="4"/>
      <c r="J623" s="4"/>
      <c r="K623" s="4"/>
      <c r="L623" s="4"/>
      <c r="M623" s="5">
        <f t="shared" si="60"/>
        <v>0</v>
      </c>
      <c r="N623" s="5">
        <f t="shared" si="61"/>
        <v>0</v>
      </c>
      <c r="O623" s="5">
        <f t="shared" si="62"/>
        <v>0</v>
      </c>
      <c r="P623" s="3">
        <f t="shared" si="63"/>
        <v>0</v>
      </c>
      <c r="Q623" s="6">
        <f t="shared" si="64"/>
        <v>0</v>
      </c>
    </row>
    <row r="624" spans="1:17" x14ac:dyDescent="0.4">
      <c r="A624" s="2">
        <v>46050</v>
      </c>
      <c r="B624" s="1" t="s">
        <v>23</v>
      </c>
      <c r="C624" s="1" t="s">
        <v>37</v>
      </c>
      <c r="D624" s="1" t="s">
        <v>32</v>
      </c>
      <c r="E624" s="7">
        <v>0</v>
      </c>
      <c r="F624" s="4">
        <v>7</v>
      </c>
      <c r="G624" s="4"/>
      <c r="H624" s="4"/>
      <c r="I624" s="4"/>
      <c r="J624" s="4"/>
      <c r="K624" s="4"/>
      <c r="L624" s="4"/>
      <c r="M624" s="5">
        <f t="shared" si="60"/>
        <v>0</v>
      </c>
      <c r="N624" s="5">
        <f t="shared" si="61"/>
        <v>0</v>
      </c>
      <c r="O624" s="5">
        <f t="shared" si="62"/>
        <v>0</v>
      </c>
      <c r="P624" s="3">
        <f t="shared" si="63"/>
        <v>0</v>
      </c>
      <c r="Q624" s="6">
        <f t="shared" si="64"/>
        <v>0</v>
      </c>
    </row>
    <row r="625" spans="1:17" x14ac:dyDescent="0.4">
      <c r="A625" s="2">
        <v>46050</v>
      </c>
      <c r="B625" s="1" t="s">
        <v>21</v>
      </c>
      <c r="C625" s="1" t="s">
        <v>22</v>
      </c>
      <c r="D625" s="1" t="s">
        <v>32</v>
      </c>
      <c r="E625" s="7">
        <v>283870.96774193551</v>
      </c>
      <c r="F625" s="4">
        <v>9</v>
      </c>
      <c r="G625" s="4">
        <v>1</v>
      </c>
      <c r="H625" s="4">
        <v>1</v>
      </c>
      <c r="I625" s="4">
        <v>1</v>
      </c>
      <c r="J625" s="4">
        <v>20000</v>
      </c>
      <c r="K625" s="4"/>
      <c r="L625" s="4"/>
      <c r="M625" s="5">
        <f t="shared" si="60"/>
        <v>1</v>
      </c>
      <c r="N625" s="5">
        <f t="shared" si="61"/>
        <v>0.1111111111111111</v>
      </c>
      <c r="O625" s="5">
        <f t="shared" si="62"/>
        <v>1</v>
      </c>
      <c r="P625" s="3">
        <f t="shared" si="63"/>
        <v>283870.96774193551</v>
      </c>
      <c r="Q625" s="6">
        <f t="shared" si="64"/>
        <v>0.84545454545454535</v>
      </c>
    </row>
    <row r="626" spans="1:17" x14ac:dyDescent="0.4">
      <c r="A626" s="2">
        <v>46050</v>
      </c>
      <c r="B626" s="1" t="s">
        <v>61</v>
      </c>
      <c r="C626" s="1" t="s">
        <v>64</v>
      </c>
      <c r="D626" s="1" t="s">
        <v>66</v>
      </c>
      <c r="E626" s="7">
        <v>0</v>
      </c>
      <c r="F626" s="4">
        <v>0</v>
      </c>
      <c r="G626" s="4">
        <v>1</v>
      </c>
      <c r="H626" s="4">
        <v>1</v>
      </c>
      <c r="I626" s="4">
        <v>1</v>
      </c>
      <c r="J626" s="4">
        <v>13000</v>
      </c>
      <c r="K626" s="4"/>
      <c r="L626" s="4"/>
      <c r="M626" s="5">
        <f t="shared" si="60"/>
        <v>1</v>
      </c>
      <c r="N626" s="5">
        <f t="shared" si="61"/>
        <v>0</v>
      </c>
      <c r="O626" s="5">
        <f t="shared" si="62"/>
        <v>1</v>
      </c>
      <c r="P626" s="3">
        <f t="shared" si="63"/>
        <v>0</v>
      </c>
      <c r="Q626" s="6">
        <f t="shared" si="64"/>
        <v>0</v>
      </c>
    </row>
    <row r="627" spans="1:17" x14ac:dyDescent="0.4">
      <c r="A627" s="2">
        <v>46050</v>
      </c>
      <c r="B627" s="1" t="s">
        <v>42</v>
      </c>
      <c r="C627" s="1" t="s">
        <v>38</v>
      </c>
      <c r="D627" s="1" t="s">
        <v>42</v>
      </c>
      <c r="E627" s="7">
        <v>0</v>
      </c>
      <c r="F627" s="4">
        <v>0</v>
      </c>
      <c r="G627" s="4"/>
      <c r="H627" s="4"/>
      <c r="I627" s="4"/>
      <c r="J627" s="4"/>
      <c r="K627" s="4"/>
      <c r="L627" s="4"/>
      <c r="M627" s="5">
        <f t="shared" si="60"/>
        <v>0</v>
      </c>
      <c r="N627" s="5">
        <f t="shared" si="61"/>
        <v>0</v>
      </c>
      <c r="O627" s="5">
        <f t="shared" si="62"/>
        <v>0</v>
      </c>
      <c r="P627" s="3">
        <f t="shared" si="63"/>
        <v>0</v>
      </c>
      <c r="Q627" s="6">
        <f t="shared" si="64"/>
        <v>0</v>
      </c>
    </row>
    <row r="628" spans="1:17" x14ac:dyDescent="0.4">
      <c r="A628" s="2">
        <v>46050</v>
      </c>
      <c r="B628" s="1" t="s">
        <v>7</v>
      </c>
      <c r="C628" s="1" t="s">
        <v>8</v>
      </c>
      <c r="D628" s="1" t="s">
        <v>42</v>
      </c>
      <c r="E628" s="7">
        <v>0</v>
      </c>
      <c r="F628" s="4">
        <v>0</v>
      </c>
      <c r="G628" s="3"/>
      <c r="H628" s="3"/>
      <c r="I628" s="3"/>
      <c r="J628" s="3"/>
      <c r="K628" s="3"/>
      <c r="L628" s="3"/>
      <c r="M628" s="5">
        <f t="shared" si="60"/>
        <v>0</v>
      </c>
      <c r="N628" s="5">
        <f t="shared" si="61"/>
        <v>0</v>
      </c>
      <c r="O628" s="5">
        <f t="shared" si="62"/>
        <v>0</v>
      </c>
      <c r="P628" s="3">
        <f t="shared" si="63"/>
        <v>0</v>
      </c>
      <c r="Q628" s="6">
        <f t="shared" si="64"/>
        <v>0</v>
      </c>
    </row>
    <row r="629" spans="1:17" x14ac:dyDescent="0.4">
      <c r="A629" s="2">
        <v>46051</v>
      </c>
      <c r="B629" s="1" t="s">
        <v>13</v>
      </c>
      <c r="C629" s="1" t="s">
        <v>14</v>
      </c>
      <c r="D629" s="1" t="s">
        <v>31</v>
      </c>
      <c r="E629" s="7">
        <v>1420261.0669693549</v>
      </c>
      <c r="F629" s="4">
        <v>3</v>
      </c>
      <c r="G629" s="4">
        <v>16</v>
      </c>
      <c r="H629" s="4">
        <v>9</v>
      </c>
      <c r="I629" s="4">
        <v>5</v>
      </c>
      <c r="J629" s="4">
        <v>100000</v>
      </c>
      <c r="K629" s="4">
        <v>2</v>
      </c>
      <c r="L629" s="4">
        <v>30000</v>
      </c>
      <c r="M629" s="5">
        <f t="shared" si="60"/>
        <v>0.5625</v>
      </c>
      <c r="N629" s="5">
        <f t="shared" si="61"/>
        <v>5.333333333333333</v>
      </c>
      <c r="O629" s="5">
        <f t="shared" si="62"/>
        <v>0.55555555555555558</v>
      </c>
      <c r="P629" s="3">
        <f t="shared" si="63"/>
        <v>88766.316685584679</v>
      </c>
      <c r="Q629" s="6">
        <f t="shared" si="64"/>
        <v>0.84491508491508382</v>
      </c>
    </row>
    <row r="630" spans="1:17" x14ac:dyDescent="0.4">
      <c r="A630" s="2">
        <v>46051</v>
      </c>
      <c r="B630" s="1" t="s">
        <v>11</v>
      </c>
      <c r="C630" s="1" t="s">
        <v>12</v>
      </c>
      <c r="D630" s="1" t="s">
        <v>32</v>
      </c>
      <c r="E630" s="7">
        <v>248120.30075187972</v>
      </c>
      <c r="F630" s="4">
        <v>6</v>
      </c>
      <c r="G630" s="4">
        <v>8</v>
      </c>
      <c r="H630" s="4">
        <v>6</v>
      </c>
      <c r="I630" s="4">
        <v>2</v>
      </c>
      <c r="J630" s="4">
        <v>50000</v>
      </c>
      <c r="K630" s="4">
        <v>3</v>
      </c>
      <c r="L630" s="4">
        <v>90000</v>
      </c>
      <c r="M630" s="5">
        <f t="shared" si="60"/>
        <v>0.75</v>
      </c>
      <c r="N630" s="5">
        <f t="shared" si="61"/>
        <v>1.3333333333333333</v>
      </c>
      <c r="O630" s="5">
        <f t="shared" si="62"/>
        <v>0.33333333333333331</v>
      </c>
      <c r="P630" s="3">
        <f t="shared" si="63"/>
        <v>31015.037593984965</v>
      </c>
      <c r="Q630" s="6">
        <f t="shared" si="64"/>
        <v>2.418181818181818</v>
      </c>
    </row>
    <row r="631" spans="1:17" x14ac:dyDescent="0.4">
      <c r="A631" s="2">
        <v>46051</v>
      </c>
      <c r="B631" s="1" t="s">
        <v>17</v>
      </c>
      <c r="C631" s="1" t="s">
        <v>18</v>
      </c>
      <c r="D631" s="1" t="s">
        <v>59</v>
      </c>
      <c r="E631" s="7">
        <v>177419.35483870967</v>
      </c>
      <c r="F631" s="4">
        <v>4</v>
      </c>
      <c r="G631" s="4">
        <v>4</v>
      </c>
      <c r="H631" s="4">
        <v>2</v>
      </c>
      <c r="I631" s="4">
        <v>2</v>
      </c>
      <c r="J631" s="4">
        <v>50000</v>
      </c>
      <c r="K631" s="4"/>
      <c r="L631" s="4"/>
      <c r="M631" s="5">
        <f t="shared" si="60"/>
        <v>0.5</v>
      </c>
      <c r="N631" s="5">
        <f t="shared" si="61"/>
        <v>1</v>
      </c>
      <c r="O631" s="5">
        <f t="shared" si="62"/>
        <v>1</v>
      </c>
      <c r="P631" s="3">
        <f t="shared" si="63"/>
        <v>44354.838709677417</v>
      </c>
      <c r="Q631" s="6">
        <f t="shared" si="64"/>
        <v>3.3818181818181818</v>
      </c>
    </row>
    <row r="632" spans="1:17" x14ac:dyDescent="0.4">
      <c r="A632" s="2">
        <v>46051</v>
      </c>
      <c r="B632" s="1" t="s">
        <v>25</v>
      </c>
      <c r="C632" s="1" t="s">
        <v>35</v>
      </c>
      <c r="D632" s="1" t="s">
        <v>32</v>
      </c>
      <c r="E632" s="7">
        <v>0</v>
      </c>
      <c r="F632" s="4">
        <v>4</v>
      </c>
      <c r="G632" s="4"/>
      <c r="H632" s="4"/>
      <c r="I632" s="4"/>
      <c r="J632" s="4"/>
      <c r="K632" s="4"/>
      <c r="L632" s="4"/>
      <c r="M632" s="5">
        <f t="shared" si="60"/>
        <v>0</v>
      </c>
      <c r="N632" s="5">
        <f t="shared" si="61"/>
        <v>0</v>
      </c>
      <c r="O632" s="5">
        <f t="shared" si="62"/>
        <v>0</v>
      </c>
      <c r="P632" s="3">
        <f t="shared" si="63"/>
        <v>0</v>
      </c>
      <c r="Q632" s="6">
        <f t="shared" si="64"/>
        <v>0</v>
      </c>
    </row>
    <row r="633" spans="1:17" x14ac:dyDescent="0.4">
      <c r="A633" s="2">
        <v>46051</v>
      </c>
      <c r="B633" s="1" t="s">
        <v>24</v>
      </c>
      <c r="C633" s="1" t="s">
        <v>6</v>
      </c>
      <c r="D633" s="1" t="s">
        <v>69</v>
      </c>
      <c r="E633" s="7">
        <v>153956</v>
      </c>
      <c r="F633" s="4">
        <v>4</v>
      </c>
      <c r="G633" s="4">
        <v>4</v>
      </c>
      <c r="H633" s="4">
        <v>2</v>
      </c>
      <c r="I633" s="4">
        <v>1</v>
      </c>
      <c r="J633" s="4">
        <v>20000</v>
      </c>
      <c r="K633" s="4" t="s">
        <v>68</v>
      </c>
      <c r="L633" s="4" t="s">
        <v>68</v>
      </c>
      <c r="M633" s="5">
        <f t="shared" si="60"/>
        <v>0.5</v>
      </c>
      <c r="N633" s="5">
        <f t="shared" si="61"/>
        <v>1</v>
      </c>
      <c r="O633" s="5">
        <f t="shared" si="62"/>
        <v>0.5</v>
      </c>
      <c r="P633" s="3">
        <f t="shared" si="63"/>
        <v>38489</v>
      </c>
      <c r="Q633" s="6">
        <f t="shared" si="64"/>
        <v>1.558886954714334</v>
      </c>
    </row>
    <row r="634" spans="1:17" x14ac:dyDescent="0.4">
      <c r="A634" s="2">
        <v>46051</v>
      </c>
      <c r="B634" s="1" t="s">
        <v>9</v>
      </c>
      <c r="C634" s="1" t="s">
        <v>6</v>
      </c>
      <c r="D634" s="1" t="s">
        <v>70</v>
      </c>
      <c r="E634" s="7">
        <v>346401</v>
      </c>
      <c r="F634" s="4">
        <v>9</v>
      </c>
      <c r="G634" s="4">
        <v>13</v>
      </c>
      <c r="H634" s="4">
        <v>2</v>
      </c>
      <c r="I634" s="4">
        <v>2</v>
      </c>
      <c r="J634" s="4">
        <v>50000</v>
      </c>
      <c r="K634" s="4" t="s">
        <v>68</v>
      </c>
      <c r="L634" s="4" t="s">
        <v>68</v>
      </c>
      <c r="M634" s="5">
        <f t="shared" si="60"/>
        <v>0.15384615384615385</v>
      </c>
      <c r="N634" s="5">
        <f t="shared" si="61"/>
        <v>1.4444444444444444</v>
      </c>
      <c r="O634" s="5">
        <f t="shared" si="62"/>
        <v>1</v>
      </c>
      <c r="P634" s="3">
        <f t="shared" si="63"/>
        <v>26646.23076923077</v>
      </c>
      <c r="Q634" s="6">
        <f t="shared" si="64"/>
        <v>1.7320966163492599</v>
      </c>
    </row>
    <row r="635" spans="1:17" x14ac:dyDescent="0.4">
      <c r="A635" s="2">
        <v>46051</v>
      </c>
      <c r="B635" s="1" t="s">
        <v>15</v>
      </c>
      <c r="C635" s="1" t="s">
        <v>6</v>
      </c>
      <c r="D635" s="1" t="s">
        <v>44</v>
      </c>
      <c r="E635" s="7">
        <v>346401</v>
      </c>
      <c r="F635" s="4">
        <v>9</v>
      </c>
      <c r="G635" s="4">
        <v>2</v>
      </c>
      <c r="H635" s="4">
        <v>2</v>
      </c>
      <c r="I635" s="4">
        <v>2</v>
      </c>
      <c r="J635" s="4">
        <v>55000</v>
      </c>
      <c r="K635" s="4" t="s">
        <v>68</v>
      </c>
      <c r="L635" s="4" t="s">
        <v>68</v>
      </c>
      <c r="M635" s="5">
        <f t="shared" si="60"/>
        <v>1</v>
      </c>
      <c r="N635" s="5">
        <f t="shared" si="61"/>
        <v>0.22222222222222221</v>
      </c>
      <c r="O635" s="5">
        <f t="shared" si="62"/>
        <v>1</v>
      </c>
      <c r="P635" s="3">
        <f t="shared" si="63"/>
        <v>173200.5</v>
      </c>
      <c r="Q635" s="6">
        <f t="shared" si="64"/>
        <v>1.9053062779841861</v>
      </c>
    </row>
    <row r="636" spans="1:17" x14ac:dyDescent="0.4">
      <c r="A636" s="2">
        <v>46051</v>
      </c>
      <c r="B636" s="1" t="s">
        <v>10</v>
      </c>
      <c r="C636" s="1" t="s">
        <v>6</v>
      </c>
      <c r="D636" s="1" t="s">
        <v>33</v>
      </c>
      <c r="E636" s="7">
        <v>269423</v>
      </c>
      <c r="F636" s="4">
        <v>7</v>
      </c>
      <c r="G636" s="4">
        <v>1</v>
      </c>
      <c r="H636" s="4" t="s">
        <v>68</v>
      </c>
      <c r="I636" s="4" t="s">
        <v>68</v>
      </c>
      <c r="J636" s="4" t="s">
        <v>68</v>
      </c>
      <c r="K636" s="4" t="s">
        <v>68</v>
      </c>
      <c r="L636" s="4" t="s">
        <v>68</v>
      </c>
      <c r="M636" s="5">
        <f t="shared" si="60"/>
        <v>0</v>
      </c>
      <c r="N636" s="5">
        <f t="shared" si="61"/>
        <v>0.14285714285714285</v>
      </c>
      <c r="O636" s="5">
        <f t="shared" si="62"/>
        <v>0</v>
      </c>
      <c r="P636" s="3">
        <f t="shared" si="63"/>
        <v>269423</v>
      </c>
      <c r="Q636" s="6">
        <f t="shared" si="64"/>
        <v>0</v>
      </c>
    </row>
    <row r="637" spans="1:17" x14ac:dyDescent="0.4">
      <c r="A637" s="2">
        <v>46051</v>
      </c>
      <c r="B637" s="1" t="s">
        <v>74</v>
      </c>
      <c r="C637" s="1" t="s">
        <v>6</v>
      </c>
      <c r="D637" s="1" t="s">
        <v>71</v>
      </c>
      <c r="E637" s="7">
        <v>192445</v>
      </c>
      <c r="F637" s="4">
        <v>5</v>
      </c>
      <c r="G637" s="4">
        <v>1</v>
      </c>
      <c r="H637" s="4">
        <v>1</v>
      </c>
      <c r="I637" s="4">
        <v>1</v>
      </c>
      <c r="J637" s="4">
        <v>25000</v>
      </c>
      <c r="K637" s="4" t="s">
        <v>68</v>
      </c>
      <c r="L637" s="4" t="s">
        <v>68</v>
      </c>
      <c r="M637" s="5">
        <f t="shared" si="60"/>
        <v>1</v>
      </c>
      <c r="N637" s="5">
        <f t="shared" si="61"/>
        <v>0.2</v>
      </c>
      <c r="O637" s="5">
        <f t="shared" si="62"/>
        <v>1</v>
      </c>
      <c r="P637" s="3">
        <f t="shared" si="63"/>
        <v>192445</v>
      </c>
      <c r="Q637" s="6">
        <f t="shared" si="64"/>
        <v>1.558886954714334</v>
      </c>
    </row>
    <row r="638" spans="1:17" x14ac:dyDescent="0.4">
      <c r="A638" s="2">
        <v>46051</v>
      </c>
      <c r="B638" s="1" t="s">
        <v>55</v>
      </c>
      <c r="C638" s="1" t="s">
        <v>6</v>
      </c>
      <c r="D638" s="1" t="s">
        <v>43</v>
      </c>
      <c r="E638" s="7">
        <v>153956</v>
      </c>
      <c r="F638" s="4">
        <v>4</v>
      </c>
      <c r="G638" s="4">
        <v>2</v>
      </c>
      <c r="H638" s="4">
        <v>1</v>
      </c>
      <c r="I638" s="4">
        <v>1</v>
      </c>
      <c r="J638" s="4">
        <v>30000</v>
      </c>
      <c r="K638" s="4" t="s">
        <v>68</v>
      </c>
      <c r="L638" s="4" t="s">
        <v>68</v>
      </c>
      <c r="M638" s="5">
        <f t="shared" si="60"/>
        <v>0.5</v>
      </c>
      <c r="N638" s="5">
        <f t="shared" si="61"/>
        <v>0.5</v>
      </c>
      <c r="O638" s="5">
        <f t="shared" si="62"/>
        <v>1</v>
      </c>
      <c r="P638" s="3">
        <f t="shared" si="63"/>
        <v>76978</v>
      </c>
      <c r="Q638" s="6">
        <f t="shared" si="64"/>
        <v>2.3383304320715008</v>
      </c>
    </row>
    <row r="639" spans="1:17" x14ac:dyDescent="0.4">
      <c r="A639" s="2">
        <v>46051</v>
      </c>
      <c r="B639" s="1" t="s">
        <v>5</v>
      </c>
      <c r="C639" s="1" t="s">
        <v>6</v>
      </c>
      <c r="D639" s="1" t="s">
        <v>52</v>
      </c>
      <c r="E639" s="7">
        <v>269423</v>
      </c>
      <c r="F639" s="4">
        <v>7</v>
      </c>
      <c r="G639" s="4">
        <v>2</v>
      </c>
      <c r="H639" s="4">
        <v>1</v>
      </c>
      <c r="I639" s="4">
        <v>1</v>
      </c>
      <c r="J639" s="4">
        <v>30000</v>
      </c>
      <c r="K639" s="4" t="s">
        <v>68</v>
      </c>
      <c r="L639" s="4" t="s">
        <v>68</v>
      </c>
      <c r="M639" s="5">
        <f t="shared" si="60"/>
        <v>0.5</v>
      </c>
      <c r="N639" s="5">
        <f t="shared" si="61"/>
        <v>0.2857142857142857</v>
      </c>
      <c r="O639" s="5">
        <f t="shared" si="62"/>
        <v>1</v>
      </c>
      <c r="P639" s="3">
        <f t="shared" si="63"/>
        <v>134711.5</v>
      </c>
      <c r="Q639" s="6">
        <f t="shared" si="64"/>
        <v>1.336188818326572</v>
      </c>
    </row>
    <row r="640" spans="1:17" x14ac:dyDescent="0.4">
      <c r="A640" s="2">
        <v>46051</v>
      </c>
      <c r="B640" s="1" t="s">
        <v>26</v>
      </c>
      <c r="C640" s="1" t="s">
        <v>36</v>
      </c>
      <c r="D640" s="1" t="s">
        <v>52</v>
      </c>
      <c r="E640" s="7">
        <v>0</v>
      </c>
      <c r="F640" s="4">
        <v>2</v>
      </c>
      <c r="G640" s="4"/>
      <c r="H640" s="4"/>
      <c r="I640" s="4"/>
      <c r="J640" s="4"/>
      <c r="K640" s="4"/>
      <c r="L640" s="4"/>
      <c r="M640" s="5">
        <f t="shared" si="60"/>
        <v>0</v>
      </c>
      <c r="N640" s="5">
        <f t="shared" si="61"/>
        <v>0</v>
      </c>
      <c r="O640" s="5">
        <f t="shared" si="62"/>
        <v>0</v>
      </c>
      <c r="P640" s="3">
        <f t="shared" si="63"/>
        <v>0</v>
      </c>
      <c r="Q640" s="6">
        <f t="shared" si="64"/>
        <v>0</v>
      </c>
    </row>
    <row r="641" spans="1:17" x14ac:dyDescent="0.4">
      <c r="A641" s="2">
        <v>46051</v>
      </c>
      <c r="B641" s="1" t="s">
        <v>51</v>
      </c>
      <c r="C641" s="1" t="s">
        <v>50</v>
      </c>
      <c r="D641" s="1" t="s">
        <v>54</v>
      </c>
      <c r="E641" s="7">
        <v>428571.42857142858</v>
      </c>
      <c r="F641" s="4">
        <v>3</v>
      </c>
      <c r="G641" s="4">
        <v>2</v>
      </c>
      <c r="H641" s="4">
        <v>2</v>
      </c>
      <c r="I641" s="4">
        <v>1</v>
      </c>
      <c r="J641" s="4">
        <v>20000</v>
      </c>
      <c r="K641" s="4">
        <v>1</v>
      </c>
      <c r="L641" s="4">
        <v>50000</v>
      </c>
      <c r="M641" s="5">
        <f t="shared" si="60"/>
        <v>1</v>
      </c>
      <c r="N641" s="5">
        <f t="shared" si="61"/>
        <v>0.66666666666666663</v>
      </c>
      <c r="O641" s="5">
        <f t="shared" si="62"/>
        <v>0.5</v>
      </c>
      <c r="P641" s="3">
        <f t="shared" si="63"/>
        <v>214285.71428571429</v>
      </c>
      <c r="Q641" s="6">
        <f t="shared" si="64"/>
        <v>0.55999999999999994</v>
      </c>
    </row>
    <row r="642" spans="1:17" x14ac:dyDescent="0.4">
      <c r="A642" s="2">
        <v>46051</v>
      </c>
      <c r="B642" s="1" t="s">
        <v>19</v>
      </c>
      <c r="C642" s="1" t="s">
        <v>20</v>
      </c>
      <c r="D642" s="1" t="s">
        <v>34</v>
      </c>
      <c r="E642" s="7">
        <v>101418.43971631207</v>
      </c>
      <c r="F642" s="4">
        <v>3</v>
      </c>
      <c r="G642" s="4">
        <v>2</v>
      </c>
      <c r="H642" s="4">
        <v>1</v>
      </c>
      <c r="I642" s="4">
        <v>1</v>
      </c>
      <c r="J642" s="4">
        <v>20000</v>
      </c>
      <c r="K642" s="4"/>
      <c r="L642" s="4"/>
      <c r="M642" s="5">
        <f t="shared" ref="M642:M685" si="65">IFERROR(H642/G642,0)</f>
        <v>0.5</v>
      </c>
      <c r="N642" s="5">
        <f t="shared" ref="N642:N685" si="66">IFERROR(G642/F642,0)</f>
        <v>0.66666666666666663</v>
      </c>
      <c r="O642" s="5">
        <f t="shared" ref="O642:O685" si="67">IFERROR(I642/H642,0)</f>
        <v>1</v>
      </c>
      <c r="P642" s="3">
        <f t="shared" ref="P642:P685" si="68">IFERROR(E642/G642,0)</f>
        <v>50709.219858156037</v>
      </c>
      <c r="Q642" s="6">
        <f t="shared" ref="Q642:Q685" si="69">IFERROR(J642*12/E642,0)</f>
        <v>2.3664335664335661</v>
      </c>
    </row>
    <row r="643" spans="1:17" x14ac:dyDescent="0.4">
      <c r="A643" s="2">
        <v>46051</v>
      </c>
      <c r="B643" s="1" t="s">
        <v>23</v>
      </c>
      <c r="C643" s="1" t="s">
        <v>37</v>
      </c>
      <c r="D643" s="1" t="s">
        <v>32</v>
      </c>
      <c r="E643" s="7">
        <v>0</v>
      </c>
      <c r="F643" s="4">
        <v>7</v>
      </c>
      <c r="G643" s="4">
        <v>3</v>
      </c>
      <c r="H643" s="4">
        <v>2</v>
      </c>
      <c r="I643" s="4">
        <v>2</v>
      </c>
      <c r="J643" s="4">
        <v>30000</v>
      </c>
      <c r="K643" s="4"/>
      <c r="L643" s="4"/>
      <c r="M643" s="5">
        <f t="shared" si="65"/>
        <v>0.66666666666666663</v>
      </c>
      <c r="N643" s="5">
        <f t="shared" si="66"/>
        <v>0.42857142857142855</v>
      </c>
      <c r="O643" s="5">
        <f t="shared" si="67"/>
        <v>1</v>
      </c>
      <c r="P643" s="3">
        <f t="shared" si="68"/>
        <v>0</v>
      </c>
      <c r="Q643" s="6">
        <f t="shared" si="69"/>
        <v>0</v>
      </c>
    </row>
    <row r="644" spans="1:17" x14ac:dyDescent="0.4">
      <c r="A644" s="2">
        <v>46051</v>
      </c>
      <c r="B644" s="1" t="s">
        <v>21</v>
      </c>
      <c r="C644" s="1" t="s">
        <v>22</v>
      </c>
      <c r="D644" s="1" t="s">
        <v>32</v>
      </c>
      <c r="E644" s="7">
        <v>283870.96774193551</v>
      </c>
      <c r="F644" s="4">
        <v>9</v>
      </c>
      <c r="G644" s="4">
        <v>2</v>
      </c>
      <c r="H644" s="4">
        <v>2</v>
      </c>
      <c r="I644" s="4">
        <v>1</v>
      </c>
      <c r="J644" s="4">
        <v>20000</v>
      </c>
      <c r="K644" s="4"/>
      <c r="L644" s="4"/>
      <c r="M644" s="5">
        <f t="shared" si="65"/>
        <v>1</v>
      </c>
      <c r="N644" s="5">
        <f t="shared" si="66"/>
        <v>0.22222222222222221</v>
      </c>
      <c r="O644" s="5">
        <f t="shared" si="67"/>
        <v>0.5</v>
      </c>
      <c r="P644" s="3">
        <f t="shared" si="68"/>
        <v>141935.48387096776</v>
      </c>
      <c r="Q644" s="6">
        <f t="shared" si="69"/>
        <v>0.84545454545454535</v>
      </c>
    </row>
    <row r="645" spans="1:17" x14ac:dyDescent="0.4">
      <c r="A645" s="2">
        <v>46051</v>
      </c>
      <c r="B645" s="1" t="s">
        <v>61</v>
      </c>
      <c r="C645" s="1" t="s">
        <v>64</v>
      </c>
      <c r="D645" s="1" t="s">
        <v>66</v>
      </c>
      <c r="E645" s="7">
        <v>0</v>
      </c>
      <c r="F645" s="4">
        <v>0</v>
      </c>
      <c r="G645" s="4">
        <v>1</v>
      </c>
      <c r="H645" s="4"/>
      <c r="I645" s="4"/>
      <c r="J645" s="4"/>
      <c r="K645" s="4"/>
      <c r="L645" s="4"/>
      <c r="M645" s="5">
        <f t="shared" si="65"/>
        <v>0</v>
      </c>
      <c r="N645" s="5">
        <f t="shared" si="66"/>
        <v>0</v>
      </c>
      <c r="O645" s="5">
        <f t="shared" si="67"/>
        <v>0</v>
      </c>
      <c r="P645" s="3">
        <f t="shared" si="68"/>
        <v>0</v>
      </c>
      <c r="Q645" s="6">
        <f t="shared" si="69"/>
        <v>0</v>
      </c>
    </row>
    <row r="646" spans="1:17" x14ac:dyDescent="0.4">
      <c r="A646" s="2">
        <v>46051</v>
      </c>
      <c r="B646" s="1" t="s">
        <v>42</v>
      </c>
      <c r="C646" s="1" t="s">
        <v>38</v>
      </c>
      <c r="D646" s="1" t="s">
        <v>42</v>
      </c>
      <c r="E646" s="7">
        <v>0</v>
      </c>
      <c r="F646" s="4">
        <v>0</v>
      </c>
      <c r="G646" s="4"/>
      <c r="H646" s="4"/>
      <c r="I646" s="4"/>
      <c r="J646" s="4"/>
      <c r="K646" s="4"/>
      <c r="L646" s="4"/>
      <c r="M646" s="5">
        <f t="shared" si="65"/>
        <v>0</v>
      </c>
      <c r="N646" s="5">
        <f t="shared" si="66"/>
        <v>0</v>
      </c>
      <c r="O646" s="5">
        <f t="shared" si="67"/>
        <v>0</v>
      </c>
      <c r="P646" s="3">
        <f t="shared" si="68"/>
        <v>0</v>
      </c>
      <c r="Q646" s="6">
        <f t="shared" si="69"/>
        <v>0</v>
      </c>
    </row>
    <row r="647" spans="1:17" x14ac:dyDescent="0.4">
      <c r="A647" s="2">
        <v>46051</v>
      </c>
      <c r="B647" s="1" t="s">
        <v>7</v>
      </c>
      <c r="C647" s="1" t="s">
        <v>8</v>
      </c>
      <c r="D647" s="1" t="s">
        <v>42</v>
      </c>
      <c r="E647" s="7">
        <v>0</v>
      </c>
      <c r="F647" s="4">
        <v>0</v>
      </c>
      <c r="G647" s="3">
        <v>5</v>
      </c>
      <c r="H647" s="3">
        <v>1</v>
      </c>
      <c r="I647" s="3"/>
      <c r="J647" s="3"/>
      <c r="K647" s="3"/>
      <c r="L647" s="3"/>
      <c r="M647" s="5">
        <f t="shared" si="65"/>
        <v>0.2</v>
      </c>
      <c r="N647" s="5">
        <f t="shared" si="66"/>
        <v>0</v>
      </c>
      <c r="O647" s="5">
        <f t="shared" si="67"/>
        <v>0</v>
      </c>
      <c r="P647" s="3">
        <f t="shared" si="68"/>
        <v>0</v>
      </c>
      <c r="Q647" s="6">
        <f t="shared" si="69"/>
        <v>0</v>
      </c>
    </row>
    <row r="648" spans="1:17" x14ac:dyDescent="0.4">
      <c r="A648" s="2">
        <v>46052</v>
      </c>
      <c r="B648" s="1" t="s">
        <v>13</v>
      </c>
      <c r="C648" s="1" t="s">
        <v>14</v>
      </c>
      <c r="D648" s="1" t="s">
        <v>31</v>
      </c>
      <c r="E648" s="7">
        <v>2032065.8342792308</v>
      </c>
      <c r="F648" s="4">
        <v>4</v>
      </c>
      <c r="G648" s="4">
        <v>15</v>
      </c>
      <c r="H648" s="4">
        <v>10</v>
      </c>
      <c r="I648" s="4">
        <v>7</v>
      </c>
      <c r="J648" s="4">
        <v>160000</v>
      </c>
      <c r="K648" s="4">
        <v>1</v>
      </c>
      <c r="L648" s="4">
        <v>20000</v>
      </c>
      <c r="M648" s="5">
        <f t="shared" si="65"/>
        <v>0.66666666666666663</v>
      </c>
      <c r="N648" s="5">
        <f t="shared" si="66"/>
        <v>3.75</v>
      </c>
      <c r="O648" s="5">
        <f t="shared" si="67"/>
        <v>0.7</v>
      </c>
      <c r="P648" s="3">
        <f t="shared" si="68"/>
        <v>135471.05561861538</v>
      </c>
      <c r="Q648" s="6">
        <f t="shared" si="69"/>
        <v>0.94485127775450228</v>
      </c>
    </row>
    <row r="649" spans="1:17" x14ac:dyDescent="0.4">
      <c r="A649" s="2">
        <v>46052</v>
      </c>
      <c r="B649" s="1" t="s">
        <v>11</v>
      </c>
      <c r="C649" s="1" t="s">
        <v>12</v>
      </c>
      <c r="D649" s="1" t="s">
        <v>32</v>
      </c>
      <c r="E649" s="7">
        <v>165413.53383458647</v>
      </c>
      <c r="F649" s="4">
        <v>4</v>
      </c>
      <c r="G649" s="4">
        <v>2</v>
      </c>
      <c r="H649" s="4">
        <v>1</v>
      </c>
      <c r="I649" s="4">
        <v>2</v>
      </c>
      <c r="J649" s="4">
        <v>50000</v>
      </c>
      <c r="K649" s="4">
        <v>1</v>
      </c>
      <c r="L649" s="4">
        <v>20000</v>
      </c>
      <c r="M649" s="5">
        <f t="shared" si="65"/>
        <v>0.5</v>
      </c>
      <c r="N649" s="5">
        <f t="shared" si="66"/>
        <v>0.5</v>
      </c>
      <c r="O649" s="5">
        <f t="shared" si="67"/>
        <v>2</v>
      </c>
      <c r="P649" s="3">
        <f t="shared" si="68"/>
        <v>82706.766917293236</v>
      </c>
      <c r="Q649" s="6">
        <f t="shared" si="69"/>
        <v>3.627272727272727</v>
      </c>
    </row>
    <row r="650" spans="1:17" x14ac:dyDescent="0.4">
      <c r="A650" s="2">
        <v>46052</v>
      </c>
      <c r="B650" s="1" t="s">
        <v>17</v>
      </c>
      <c r="C650" s="1" t="s">
        <v>18</v>
      </c>
      <c r="D650" s="1" t="s">
        <v>59</v>
      </c>
      <c r="E650" s="7">
        <v>177419.35483870967</v>
      </c>
      <c r="F650" s="4">
        <v>4</v>
      </c>
      <c r="G650" s="4">
        <v>1</v>
      </c>
      <c r="H650" s="4"/>
      <c r="I650" s="4"/>
      <c r="J650" s="4"/>
      <c r="K650" s="4"/>
      <c r="L650" s="4"/>
      <c r="M650" s="5">
        <f t="shared" si="65"/>
        <v>0</v>
      </c>
      <c r="N650" s="5">
        <f t="shared" si="66"/>
        <v>0.25</v>
      </c>
      <c r="O650" s="5">
        <f t="shared" si="67"/>
        <v>0</v>
      </c>
      <c r="P650" s="3">
        <f t="shared" si="68"/>
        <v>177419.35483870967</v>
      </c>
      <c r="Q650" s="6">
        <f t="shared" si="69"/>
        <v>0</v>
      </c>
    </row>
    <row r="651" spans="1:17" x14ac:dyDescent="0.4">
      <c r="A651" s="2">
        <v>46052</v>
      </c>
      <c r="B651" s="1" t="s">
        <v>25</v>
      </c>
      <c r="C651" s="1" t="s">
        <v>35</v>
      </c>
      <c r="D651" s="1" t="s">
        <v>32</v>
      </c>
      <c r="E651" s="7">
        <v>0</v>
      </c>
      <c r="F651" s="4">
        <v>4</v>
      </c>
      <c r="G651" s="4">
        <v>1</v>
      </c>
      <c r="H651" s="4"/>
      <c r="I651" s="4"/>
      <c r="J651" s="4"/>
      <c r="K651" s="4"/>
      <c r="L651" s="4"/>
      <c r="M651" s="5">
        <f t="shared" si="65"/>
        <v>0</v>
      </c>
      <c r="N651" s="5">
        <f t="shared" si="66"/>
        <v>0.25</v>
      </c>
      <c r="O651" s="5">
        <f t="shared" si="67"/>
        <v>0</v>
      </c>
      <c r="P651" s="3">
        <f t="shared" si="68"/>
        <v>0</v>
      </c>
      <c r="Q651" s="6">
        <f t="shared" si="69"/>
        <v>0</v>
      </c>
    </row>
    <row r="652" spans="1:17" x14ac:dyDescent="0.4">
      <c r="A652" s="2">
        <v>46052</v>
      </c>
      <c r="B652" s="1" t="s">
        <v>24</v>
      </c>
      <c r="C652" s="1" t="s">
        <v>6</v>
      </c>
      <c r="D652" s="1" t="s">
        <v>69</v>
      </c>
      <c r="E652" s="7">
        <v>173201</v>
      </c>
      <c r="F652" s="4">
        <v>4</v>
      </c>
      <c r="G652" s="4" t="s">
        <v>68</v>
      </c>
      <c r="H652" s="4" t="s">
        <v>68</v>
      </c>
      <c r="I652" s="4" t="s">
        <v>68</v>
      </c>
      <c r="J652" s="4" t="s">
        <v>68</v>
      </c>
      <c r="K652" s="4" t="s">
        <v>68</v>
      </c>
      <c r="L652" s="4" t="s">
        <v>68</v>
      </c>
      <c r="M652" s="5">
        <f t="shared" si="65"/>
        <v>0</v>
      </c>
      <c r="N652" s="5">
        <f t="shared" si="66"/>
        <v>0</v>
      </c>
      <c r="O652" s="5">
        <f t="shared" si="67"/>
        <v>0</v>
      </c>
      <c r="P652" s="3">
        <f t="shared" si="68"/>
        <v>0</v>
      </c>
      <c r="Q652" s="6">
        <f t="shared" si="69"/>
        <v>0</v>
      </c>
    </row>
    <row r="653" spans="1:17" x14ac:dyDescent="0.4">
      <c r="A653" s="2">
        <v>46052</v>
      </c>
      <c r="B653" s="1" t="s">
        <v>9</v>
      </c>
      <c r="C653" s="1" t="s">
        <v>6</v>
      </c>
      <c r="D653" s="1" t="s">
        <v>70</v>
      </c>
      <c r="E653" s="7">
        <v>346401</v>
      </c>
      <c r="F653" s="4">
        <v>9</v>
      </c>
      <c r="G653" s="4">
        <v>1</v>
      </c>
      <c r="H653" s="4" t="s">
        <v>68</v>
      </c>
      <c r="I653" s="4" t="s">
        <v>68</v>
      </c>
      <c r="J653" s="4" t="s">
        <v>68</v>
      </c>
      <c r="K653" s="4" t="s">
        <v>68</v>
      </c>
      <c r="L653" s="4" t="s">
        <v>68</v>
      </c>
      <c r="M653" s="5">
        <f t="shared" si="65"/>
        <v>0</v>
      </c>
      <c r="N653" s="5">
        <f t="shared" si="66"/>
        <v>0.1111111111111111</v>
      </c>
      <c r="O653" s="5">
        <f t="shared" si="67"/>
        <v>0</v>
      </c>
      <c r="P653" s="3">
        <f t="shared" si="68"/>
        <v>346401</v>
      </c>
      <c r="Q653" s="6">
        <f t="shared" si="69"/>
        <v>0</v>
      </c>
    </row>
    <row r="654" spans="1:17" x14ac:dyDescent="0.4">
      <c r="A654" s="2">
        <v>46052</v>
      </c>
      <c r="B654" s="1" t="s">
        <v>15</v>
      </c>
      <c r="C654" s="1" t="s">
        <v>6</v>
      </c>
      <c r="D654" s="1" t="s">
        <v>44</v>
      </c>
      <c r="E654" s="7">
        <v>346401</v>
      </c>
      <c r="F654" s="4">
        <v>9</v>
      </c>
      <c r="G654" s="4">
        <v>3</v>
      </c>
      <c r="H654" s="4">
        <v>3</v>
      </c>
      <c r="I654" s="4">
        <v>2</v>
      </c>
      <c r="J654" s="4">
        <v>50000</v>
      </c>
      <c r="K654" s="4" t="s">
        <v>68</v>
      </c>
      <c r="L654" s="4" t="s">
        <v>68</v>
      </c>
      <c r="M654" s="5">
        <f t="shared" si="65"/>
        <v>1</v>
      </c>
      <c r="N654" s="5">
        <f t="shared" si="66"/>
        <v>0.33333333333333331</v>
      </c>
      <c r="O654" s="5">
        <f t="shared" si="67"/>
        <v>0.66666666666666663</v>
      </c>
      <c r="P654" s="3">
        <f t="shared" si="68"/>
        <v>115467</v>
      </c>
      <c r="Q654" s="6">
        <f t="shared" si="69"/>
        <v>1.7320966163492599</v>
      </c>
    </row>
    <row r="655" spans="1:17" x14ac:dyDescent="0.4">
      <c r="A655" s="2">
        <v>46052</v>
      </c>
      <c r="B655" s="1" t="s">
        <v>10</v>
      </c>
      <c r="C655" s="1" t="s">
        <v>6</v>
      </c>
      <c r="D655" s="1" t="s">
        <v>33</v>
      </c>
      <c r="E655" s="7">
        <v>259801</v>
      </c>
      <c r="F655" s="4">
        <v>6</v>
      </c>
      <c r="G655" s="4" t="s">
        <v>68</v>
      </c>
      <c r="H655" s="4" t="s">
        <v>68</v>
      </c>
      <c r="I655" s="4" t="s">
        <v>68</v>
      </c>
      <c r="J655" s="4" t="s">
        <v>68</v>
      </c>
      <c r="K655" s="4" t="s">
        <v>68</v>
      </c>
      <c r="L655" s="4" t="s">
        <v>68</v>
      </c>
      <c r="M655" s="5">
        <f t="shared" si="65"/>
        <v>0</v>
      </c>
      <c r="N655" s="5">
        <f t="shared" si="66"/>
        <v>0</v>
      </c>
      <c r="O655" s="5">
        <f t="shared" si="67"/>
        <v>0</v>
      </c>
      <c r="P655" s="3">
        <f t="shared" si="68"/>
        <v>0</v>
      </c>
      <c r="Q655" s="6">
        <f t="shared" si="69"/>
        <v>0</v>
      </c>
    </row>
    <row r="656" spans="1:17" x14ac:dyDescent="0.4">
      <c r="A656" s="2">
        <v>46052</v>
      </c>
      <c r="B656" s="1" t="s">
        <v>74</v>
      </c>
      <c r="C656" s="1" t="s">
        <v>6</v>
      </c>
      <c r="D656" s="1" t="s">
        <v>71</v>
      </c>
      <c r="E656" s="7">
        <v>173201</v>
      </c>
      <c r="F656" s="4">
        <v>4</v>
      </c>
      <c r="G656" s="4" t="s">
        <v>68</v>
      </c>
      <c r="H656" s="4" t="s">
        <v>68</v>
      </c>
      <c r="I656" s="4" t="s">
        <v>68</v>
      </c>
      <c r="J656" s="4" t="s">
        <v>68</v>
      </c>
      <c r="K656" s="4" t="s">
        <v>68</v>
      </c>
      <c r="L656" s="4" t="s">
        <v>68</v>
      </c>
      <c r="M656" s="5">
        <f t="shared" si="65"/>
        <v>0</v>
      </c>
      <c r="N656" s="5">
        <f t="shared" si="66"/>
        <v>0</v>
      </c>
      <c r="O656" s="5">
        <f t="shared" si="67"/>
        <v>0</v>
      </c>
      <c r="P656" s="3">
        <f t="shared" si="68"/>
        <v>0</v>
      </c>
      <c r="Q656" s="6">
        <f t="shared" si="69"/>
        <v>0</v>
      </c>
    </row>
    <row r="657" spans="1:17" x14ac:dyDescent="0.4">
      <c r="A657" s="2">
        <v>46052</v>
      </c>
      <c r="B657" s="1" t="s">
        <v>55</v>
      </c>
      <c r="C657" s="1" t="s">
        <v>6</v>
      </c>
      <c r="D657" s="1" t="s">
        <v>43</v>
      </c>
      <c r="E657" s="7">
        <v>173201</v>
      </c>
      <c r="F657" s="4">
        <v>5</v>
      </c>
      <c r="G657" s="4" t="s">
        <v>68</v>
      </c>
      <c r="H657" s="4" t="s">
        <v>68</v>
      </c>
      <c r="I657" s="4" t="s">
        <v>68</v>
      </c>
      <c r="J657" s="4" t="s">
        <v>68</v>
      </c>
      <c r="K657" s="4" t="s">
        <v>68</v>
      </c>
      <c r="L657" s="4" t="s">
        <v>68</v>
      </c>
      <c r="M657" s="5">
        <f t="shared" si="65"/>
        <v>0</v>
      </c>
      <c r="N657" s="5">
        <f t="shared" si="66"/>
        <v>0</v>
      </c>
      <c r="O657" s="5">
        <f t="shared" si="67"/>
        <v>0</v>
      </c>
      <c r="P657" s="3">
        <f t="shared" si="68"/>
        <v>0</v>
      </c>
      <c r="Q657" s="6">
        <f t="shared" si="69"/>
        <v>0</v>
      </c>
    </row>
    <row r="658" spans="1:17" x14ac:dyDescent="0.4">
      <c r="A658" s="2">
        <v>46052</v>
      </c>
      <c r="B658" s="1" t="s">
        <v>5</v>
      </c>
      <c r="C658" s="1" t="s">
        <v>6</v>
      </c>
      <c r="D658" s="1" t="s">
        <v>52</v>
      </c>
      <c r="E658" s="7">
        <v>259801</v>
      </c>
      <c r="F658" s="4">
        <v>7</v>
      </c>
      <c r="G658" s="4">
        <v>1</v>
      </c>
      <c r="H658" s="4">
        <v>1</v>
      </c>
      <c r="I658" s="4" t="s">
        <v>68</v>
      </c>
      <c r="J658" s="4" t="s">
        <v>68</v>
      </c>
      <c r="K658" s="4" t="s">
        <v>68</v>
      </c>
      <c r="L658" s="4" t="s">
        <v>68</v>
      </c>
      <c r="M658" s="5">
        <f t="shared" si="65"/>
        <v>1</v>
      </c>
      <c r="N658" s="5">
        <f t="shared" si="66"/>
        <v>0.14285714285714285</v>
      </c>
      <c r="O658" s="5">
        <f t="shared" si="67"/>
        <v>0</v>
      </c>
      <c r="P658" s="3">
        <f t="shared" si="68"/>
        <v>259801</v>
      </c>
      <c r="Q658" s="6">
        <f t="shared" si="69"/>
        <v>0</v>
      </c>
    </row>
    <row r="659" spans="1:17" x14ac:dyDescent="0.4">
      <c r="A659" s="2">
        <v>46052</v>
      </c>
      <c r="B659" s="1" t="s">
        <v>26</v>
      </c>
      <c r="C659" s="1" t="s">
        <v>36</v>
      </c>
      <c r="D659" s="1" t="s">
        <v>52</v>
      </c>
      <c r="E659" s="7">
        <v>0</v>
      </c>
      <c r="F659" s="4">
        <v>2</v>
      </c>
      <c r="G659" s="4"/>
      <c r="H659" s="4"/>
      <c r="I659" s="4"/>
      <c r="J659" s="4"/>
      <c r="K659" s="4"/>
      <c r="L659" s="4"/>
      <c r="M659" s="5">
        <f t="shared" si="65"/>
        <v>0</v>
      </c>
      <c r="N659" s="5">
        <f t="shared" si="66"/>
        <v>0</v>
      </c>
      <c r="O659" s="5">
        <f t="shared" si="67"/>
        <v>0</v>
      </c>
      <c r="P659" s="3">
        <f t="shared" si="68"/>
        <v>0</v>
      </c>
      <c r="Q659" s="6">
        <f t="shared" si="69"/>
        <v>0</v>
      </c>
    </row>
    <row r="660" spans="1:17" x14ac:dyDescent="0.4">
      <c r="A660" s="2">
        <v>46052</v>
      </c>
      <c r="B660" s="1" t="s">
        <v>51</v>
      </c>
      <c r="C660" s="1" t="s">
        <v>50</v>
      </c>
      <c r="D660" s="1" t="s">
        <v>54</v>
      </c>
      <c r="E660" s="7">
        <v>428571.42857142858</v>
      </c>
      <c r="F660" s="4">
        <v>3</v>
      </c>
      <c r="G660" s="4">
        <v>9</v>
      </c>
      <c r="H660" s="4">
        <v>7</v>
      </c>
      <c r="I660" s="4">
        <v>4</v>
      </c>
      <c r="J660" s="4">
        <v>135000</v>
      </c>
      <c r="K660" s="4">
        <v>2</v>
      </c>
      <c r="L660" s="4">
        <v>40000</v>
      </c>
      <c r="M660" s="5">
        <f t="shared" si="65"/>
        <v>0.77777777777777779</v>
      </c>
      <c r="N660" s="5">
        <f t="shared" si="66"/>
        <v>3</v>
      </c>
      <c r="O660" s="5">
        <f t="shared" si="67"/>
        <v>0.5714285714285714</v>
      </c>
      <c r="P660" s="3">
        <f t="shared" si="68"/>
        <v>47619.047619047618</v>
      </c>
      <c r="Q660" s="6">
        <f t="shared" si="69"/>
        <v>3.78</v>
      </c>
    </row>
    <row r="661" spans="1:17" x14ac:dyDescent="0.4">
      <c r="A661" s="2">
        <v>46052</v>
      </c>
      <c r="B661" s="1" t="s">
        <v>19</v>
      </c>
      <c r="C661" s="1" t="s">
        <v>20</v>
      </c>
      <c r="D661" s="1" t="s">
        <v>34</v>
      </c>
      <c r="E661" s="7">
        <v>195035.46099290781</v>
      </c>
      <c r="F661" s="4">
        <v>4</v>
      </c>
      <c r="G661" s="4">
        <v>1</v>
      </c>
      <c r="H661" s="4"/>
      <c r="I661" s="4"/>
      <c r="J661" s="4"/>
      <c r="K661" s="4">
        <v>1</v>
      </c>
      <c r="L661" s="4">
        <v>20000</v>
      </c>
      <c r="M661" s="5">
        <f t="shared" si="65"/>
        <v>0</v>
      </c>
      <c r="N661" s="5">
        <f t="shared" si="66"/>
        <v>0.25</v>
      </c>
      <c r="O661" s="5">
        <f t="shared" si="67"/>
        <v>0</v>
      </c>
      <c r="P661" s="3">
        <f t="shared" si="68"/>
        <v>195035.46099290781</v>
      </c>
      <c r="Q661" s="6">
        <f t="shared" si="69"/>
        <v>0</v>
      </c>
    </row>
    <row r="662" spans="1:17" x14ac:dyDescent="0.4">
      <c r="A662" s="2">
        <v>46052</v>
      </c>
      <c r="B662" s="1" t="s">
        <v>23</v>
      </c>
      <c r="C662" s="1" t="s">
        <v>37</v>
      </c>
      <c r="D662" s="1" t="s">
        <v>32</v>
      </c>
      <c r="E662" s="7">
        <v>0</v>
      </c>
      <c r="F662" s="4">
        <v>7</v>
      </c>
      <c r="G662" s="4">
        <v>1</v>
      </c>
      <c r="H662" s="4"/>
      <c r="I662" s="4"/>
      <c r="J662" s="4"/>
      <c r="K662" s="4">
        <v>1</v>
      </c>
      <c r="L662" s="4">
        <v>20000</v>
      </c>
      <c r="M662" s="5">
        <f t="shared" si="65"/>
        <v>0</v>
      </c>
      <c r="N662" s="5">
        <f t="shared" si="66"/>
        <v>0.14285714285714285</v>
      </c>
      <c r="O662" s="5">
        <f t="shared" si="67"/>
        <v>0</v>
      </c>
      <c r="P662" s="3">
        <f t="shared" si="68"/>
        <v>0</v>
      </c>
      <c r="Q662" s="6">
        <f t="shared" si="69"/>
        <v>0</v>
      </c>
    </row>
    <row r="663" spans="1:17" x14ac:dyDescent="0.4">
      <c r="A663" s="2">
        <v>46052</v>
      </c>
      <c r="B663" s="1" t="s">
        <v>21</v>
      </c>
      <c r="C663" s="1" t="s">
        <v>22</v>
      </c>
      <c r="D663" s="1" t="s">
        <v>32</v>
      </c>
      <c r="E663" s="7">
        <v>283870.96774193551</v>
      </c>
      <c r="F663" s="4">
        <v>9</v>
      </c>
      <c r="G663" s="4">
        <v>4</v>
      </c>
      <c r="H663" s="4">
        <v>1</v>
      </c>
      <c r="I663" s="4"/>
      <c r="J663" s="4"/>
      <c r="K663" s="4">
        <v>1</v>
      </c>
      <c r="L663" s="4">
        <v>20000</v>
      </c>
      <c r="M663" s="5">
        <f t="shared" si="65"/>
        <v>0.25</v>
      </c>
      <c r="N663" s="5">
        <f t="shared" si="66"/>
        <v>0.44444444444444442</v>
      </c>
      <c r="O663" s="5">
        <f t="shared" si="67"/>
        <v>0</v>
      </c>
      <c r="P663" s="3">
        <f t="shared" si="68"/>
        <v>70967.741935483878</v>
      </c>
      <c r="Q663" s="6">
        <f t="shared" si="69"/>
        <v>0</v>
      </c>
    </row>
    <row r="664" spans="1:17" x14ac:dyDescent="0.4">
      <c r="A664" s="2">
        <v>46052</v>
      </c>
      <c r="B664" s="1" t="s">
        <v>61</v>
      </c>
      <c r="C664" s="1" t="s">
        <v>64</v>
      </c>
      <c r="D664" s="1" t="s">
        <v>66</v>
      </c>
      <c r="E664" s="7">
        <v>0</v>
      </c>
      <c r="F664" s="4">
        <v>0</v>
      </c>
      <c r="G664" s="4"/>
      <c r="H664" s="4"/>
      <c r="I664" s="4"/>
      <c r="J664" s="4"/>
      <c r="K664" s="4"/>
      <c r="L664" s="4"/>
      <c r="M664" s="5">
        <f t="shared" si="65"/>
        <v>0</v>
      </c>
      <c r="N664" s="5">
        <f t="shared" si="66"/>
        <v>0</v>
      </c>
      <c r="O664" s="5">
        <f t="shared" si="67"/>
        <v>0</v>
      </c>
      <c r="P664" s="3">
        <f t="shared" si="68"/>
        <v>0</v>
      </c>
      <c r="Q664" s="6">
        <f t="shared" si="69"/>
        <v>0</v>
      </c>
    </row>
    <row r="665" spans="1:17" x14ac:dyDescent="0.4">
      <c r="A665" s="2">
        <v>46052</v>
      </c>
      <c r="B665" s="1" t="s">
        <v>42</v>
      </c>
      <c r="C665" s="1" t="s">
        <v>38</v>
      </c>
      <c r="D665" s="1" t="s">
        <v>42</v>
      </c>
      <c r="E665" s="7">
        <v>0</v>
      </c>
      <c r="F665" s="4">
        <v>0</v>
      </c>
      <c r="G665" s="4"/>
      <c r="H665" s="4"/>
      <c r="I665" s="4"/>
      <c r="J665" s="4"/>
      <c r="K665" s="4"/>
      <c r="L665" s="4"/>
      <c r="M665" s="5">
        <f t="shared" si="65"/>
        <v>0</v>
      </c>
      <c r="N665" s="5">
        <f t="shared" si="66"/>
        <v>0</v>
      </c>
      <c r="O665" s="5">
        <f t="shared" si="67"/>
        <v>0</v>
      </c>
      <c r="P665" s="3">
        <f t="shared" si="68"/>
        <v>0</v>
      </c>
      <c r="Q665" s="6">
        <f t="shared" si="69"/>
        <v>0</v>
      </c>
    </row>
    <row r="666" spans="1:17" x14ac:dyDescent="0.4">
      <c r="A666" s="2">
        <v>46052</v>
      </c>
      <c r="B666" s="1" t="s">
        <v>7</v>
      </c>
      <c r="C666" s="1" t="s">
        <v>8</v>
      </c>
      <c r="D666" s="1" t="s">
        <v>42</v>
      </c>
      <c r="E666" s="7">
        <v>0</v>
      </c>
      <c r="F666" s="4">
        <v>0</v>
      </c>
      <c r="G666" s="3">
        <v>5</v>
      </c>
      <c r="H666" s="3">
        <v>2</v>
      </c>
      <c r="I666" s="3"/>
      <c r="J666" s="3"/>
      <c r="K666" s="3"/>
      <c r="L666" s="3"/>
      <c r="M666" s="5">
        <f t="shared" si="65"/>
        <v>0.4</v>
      </c>
      <c r="N666" s="5">
        <f t="shared" si="66"/>
        <v>0</v>
      </c>
      <c r="O666" s="5">
        <f t="shared" si="67"/>
        <v>0</v>
      </c>
      <c r="P666" s="3">
        <f t="shared" si="68"/>
        <v>0</v>
      </c>
      <c r="Q666" s="6">
        <f t="shared" si="69"/>
        <v>0</v>
      </c>
    </row>
    <row r="667" spans="1:17" x14ac:dyDescent="0.4">
      <c r="A667" s="2">
        <v>46053</v>
      </c>
      <c r="B667" s="1" t="s">
        <v>13</v>
      </c>
      <c r="C667" s="1" t="s">
        <v>14</v>
      </c>
      <c r="D667" s="1" t="s">
        <v>31</v>
      </c>
      <c r="E667" s="7">
        <v>1223609.5346197519</v>
      </c>
      <c r="F667" s="4">
        <v>2</v>
      </c>
      <c r="G667" s="4">
        <v>4</v>
      </c>
      <c r="H667" s="4">
        <v>1</v>
      </c>
      <c r="I667" s="4">
        <v>2</v>
      </c>
      <c r="J667" s="4">
        <v>40000</v>
      </c>
      <c r="K667" s="4"/>
      <c r="L667" s="4"/>
      <c r="M667" s="5">
        <f t="shared" si="65"/>
        <v>0.25</v>
      </c>
      <c r="N667" s="5">
        <f t="shared" si="66"/>
        <v>2</v>
      </c>
      <c r="O667" s="5">
        <f t="shared" si="67"/>
        <v>2</v>
      </c>
      <c r="P667" s="3">
        <f t="shared" si="68"/>
        <v>305902.38365493796</v>
      </c>
      <c r="Q667" s="6">
        <f t="shared" si="69"/>
        <v>0.39228200371057464</v>
      </c>
    </row>
    <row r="668" spans="1:17" x14ac:dyDescent="0.4">
      <c r="A668" s="2">
        <v>46053</v>
      </c>
      <c r="B668" s="1" t="s">
        <v>11</v>
      </c>
      <c r="C668" s="1" t="s">
        <v>12</v>
      </c>
      <c r="D668" s="1" t="s">
        <v>32</v>
      </c>
      <c r="E668" s="7">
        <v>124060.15037593986</v>
      </c>
      <c r="F668" s="4">
        <v>3</v>
      </c>
      <c r="G668" s="4"/>
      <c r="H668" s="4"/>
      <c r="I668" s="4"/>
      <c r="J668" s="4"/>
      <c r="K668" s="4"/>
      <c r="L668" s="4"/>
      <c r="M668" s="5">
        <f t="shared" si="65"/>
        <v>0</v>
      </c>
      <c r="N668" s="5">
        <f t="shared" si="66"/>
        <v>0</v>
      </c>
      <c r="O668" s="5">
        <f t="shared" si="67"/>
        <v>0</v>
      </c>
      <c r="P668" s="3">
        <f t="shared" si="68"/>
        <v>0</v>
      </c>
      <c r="Q668" s="6">
        <f t="shared" si="69"/>
        <v>0</v>
      </c>
    </row>
    <row r="669" spans="1:17" x14ac:dyDescent="0.4">
      <c r="A669" s="2">
        <v>46053</v>
      </c>
      <c r="B669" s="1" t="s">
        <v>17</v>
      </c>
      <c r="C669" s="1" t="s">
        <v>18</v>
      </c>
      <c r="D669" s="1" t="s">
        <v>59</v>
      </c>
      <c r="E669" s="7">
        <v>177419.35483870967</v>
      </c>
      <c r="F669" s="4">
        <v>4</v>
      </c>
      <c r="G669" s="4">
        <v>3</v>
      </c>
      <c r="H669" s="4">
        <v>2</v>
      </c>
      <c r="I669" s="4">
        <v>1</v>
      </c>
      <c r="J669" s="4">
        <v>30000</v>
      </c>
      <c r="K669" s="4"/>
      <c r="L669" s="4"/>
      <c r="M669" s="5">
        <f t="shared" si="65"/>
        <v>0.66666666666666663</v>
      </c>
      <c r="N669" s="5">
        <f t="shared" si="66"/>
        <v>0.75</v>
      </c>
      <c r="O669" s="5">
        <f t="shared" si="67"/>
        <v>0.5</v>
      </c>
      <c r="P669" s="3">
        <f t="shared" si="68"/>
        <v>59139.784946236556</v>
      </c>
      <c r="Q669" s="6">
        <f t="shared" si="69"/>
        <v>2.0290909090909093</v>
      </c>
    </row>
    <row r="670" spans="1:17" x14ac:dyDescent="0.4">
      <c r="A670" s="2">
        <v>46053</v>
      </c>
      <c r="B670" s="1" t="s">
        <v>25</v>
      </c>
      <c r="C670" s="1" t="s">
        <v>35</v>
      </c>
      <c r="D670" s="1" t="s">
        <v>32</v>
      </c>
      <c r="E670" s="7">
        <v>0</v>
      </c>
      <c r="F670" s="4">
        <v>4</v>
      </c>
      <c r="G670" s="4"/>
      <c r="H670" s="4"/>
      <c r="I670" s="4"/>
      <c r="J670" s="4"/>
      <c r="K670" s="4"/>
      <c r="L670" s="4"/>
      <c r="M670" s="5">
        <f t="shared" si="65"/>
        <v>0</v>
      </c>
      <c r="N670" s="5">
        <f t="shared" si="66"/>
        <v>0</v>
      </c>
      <c r="O670" s="5">
        <f t="shared" si="67"/>
        <v>0</v>
      </c>
      <c r="P670" s="3">
        <f t="shared" si="68"/>
        <v>0</v>
      </c>
      <c r="Q670" s="6">
        <f t="shared" si="69"/>
        <v>0</v>
      </c>
    </row>
    <row r="671" spans="1:17" x14ac:dyDescent="0.4">
      <c r="A671" s="2">
        <v>46053</v>
      </c>
      <c r="B671" s="1" t="s">
        <v>24</v>
      </c>
      <c r="C671" s="1" t="s">
        <v>6</v>
      </c>
      <c r="D671" s="1" t="s">
        <v>69</v>
      </c>
      <c r="E671" s="7">
        <v>213496</v>
      </c>
      <c r="F671" s="4">
        <v>5</v>
      </c>
      <c r="G671" s="4" t="s">
        <v>68</v>
      </c>
      <c r="H671" s="4" t="s">
        <v>68</v>
      </c>
      <c r="I671" s="4" t="s">
        <v>68</v>
      </c>
      <c r="J671" s="4" t="s">
        <v>68</v>
      </c>
      <c r="K671" s="4" t="s">
        <v>68</v>
      </c>
      <c r="L671" s="4" t="s">
        <v>68</v>
      </c>
      <c r="M671" s="5">
        <f t="shared" si="65"/>
        <v>0</v>
      </c>
      <c r="N671" s="5">
        <f t="shared" si="66"/>
        <v>0</v>
      </c>
      <c r="O671" s="5">
        <f t="shared" si="67"/>
        <v>0</v>
      </c>
      <c r="P671" s="3">
        <f t="shared" si="68"/>
        <v>0</v>
      </c>
      <c r="Q671" s="6">
        <f t="shared" si="69"/>
        <v>0</v>
      </c>
    </row>
    <row r="672" spans="1:17" x14ac:dyDescent="0.4">
      <c r="A672" s="2">
        <v>46053</v>
      </c>
      <c r="B672" s="1" t="s">
        <v>9</v>
      </c>
      <c r="C672" s="1" t="s">
        <v>6</v>
      </c>
      <c r="D672" s="1" t="s">
        <v>70</v>
      </c>
      <c r="E672" s="7">
        <v>426992</v>
      </c>
      <c r="F672" s="4">
        <v>9</v>
      </c>
      <c r="G672" s="4">
        <v>4</v>
      </c>
      <c r="H672" s="4">
        <v>2</v>
      </c>
      <c r="I672" s="4">
        <v>2</v>
      </c>
      <c r="J672" s="4">
        <v>40000</v>
      </c>
      <c r="K672" s="4" t="s">
        <v>68</v>
      </c>
      <c r="L672" s="4" t="s">
        <v>68</v>
      </c>
      <c r="M672" s="5">
        <f t="shared" si="65"/>
        <v>0.5</v>
      </c>
      <c r="N672" s="5">
        <f t="shared" si="66"/>
        <v>0.44444444444444442</v>
      </c>
      <c r="O672" s="5">
        <f t="shared" si="67"/>
        <v>1</v>
      </c>
      <c r="P672" s="3">
        <f t="shared" si="68"/>
        <v>106748</v>
      </c>
      <c r="Q672" s="6">
        <f t="shared" si="69"/>
        <v>1.1241428410836738</v>
      </c>
    </row>
    <row r="673" spans="1:17" x14ac:dyDescent="0.4">
      <c r="A673" s="2">
        <v>46053</v>
      </c>
      <c r="B673" s="1" t="s">
        <v>15</v>
      </c>
      <c r="C673" s="1" t="s">
        <v>6</v>
      </c>
      <c r="D673" s="1" t="s">
        <v>44</v>
      </c>
      <c r="E673" s="7">
        <v>426992</v>
      </c>
      <c r="F673" s="4">
        <v>9</v>
      </c>
      <c r="G673" s="4">
        <v>2</v>
      </c>
      <c r="H673" s="4">
        <v>2</v>
      </c>
      <c r="I673" s="4">
        <v>1</v>
      </c>
      <c r="J673" s="4">
        <v>30000</v>
      </c>
      <c r="K673" s="4" t="s">
        <v>68</v>
      </c>
      <c r="L673" s="4" t="s">
        <v>68</v>
      </c>
      <c r="M673" s="5">
        <f t="shared" si="65"/>
        <v>1</v>
      </c>
      <c r="N673" s="5">
        <f t="shared" si="66"/>
        <v>0.22222222222222221</v>
      </c>
      <c r="O673" s="5">
        <f t="shared" si="67"/>
        <v>0.5</v>
      </c>
      <c r="P673" s="3">
        <f t="shared" si="68"/>
        <v>213496</v>
      </c>
      <c r="Q673" s="6">
        <f t="shared" si="69"/>
        <v>0.84310713081275523</v>
      </c>
    </row>
    <row r="674" spans="1:17" x14ac:dyDescent="0.4">
      <c r="A674" s="2">
        <v>46053</v>
      </c>
      <c r="B674" s="1" t="s">
        <v>10</v>
      </c>
      <c r="C674" s="1" t="s">
        <v>6</v>
      </c>
      <c r="D674" s="1" t="s">
        <v>33</v>
      </c>
      <c r="E674" s="7">
        <v>320244</v>
      </c>
      <c r="F674" s="4">
        <v>7</v>
      </c>
      <c r="G674" s="4">
        <v>1</v>
      </c>
      <c r="H674" s="4" t="s">
        <v>68</v>
      </c>
      <c r="I674" s="4" t="s">
        <v>68</v>
      </c>
      <c r="J674" s="4" t="s">
        <v>68</v>
      </c>
      <c r="K674" s="4" t="s">
        <v>68</v>
      </c>
      <c r="L674" s="4" t="s">
        <v>68</v>
      </c>
      <c r="M674" s="5">
        <f t="shared" si="65"/>
        <v>0</v>
      </c>
      <c r="N674" s="5">
        <f t="shared" si="66"/>
        <v>0.14285714285714285</v>
      </c>
      <c r="O674" s="5">
        <f t="shared" si="67"/>
        <v>0</v>
      </c>
      <c r="P674" s="3">
        <f t="shared" si="68"/>
        <v>320244</v>
      </c>
      <c r="Q674" s="6">
        <f t="shared" si="69"/>
        <v>0</v>
      </c>
    </row>
    <row r="675" spans="1:17" x14ac:dyDescent="0.4">
      <c r="A675" s="2">
        <v>46053</v>
      </c>
      <c r="B675" s="1" t="s">
        <v>74</v>
      </c>
      <c r="C675" s="1" t="s">
        <v>6</v>
      </c>
      <c r="D675" s="1" t="s">
        <v>71</v>
      </c>
      <c r="E675" s="7">
        <v>213496</v>
      </c>
      <c r="F675" s="4">
        <v>5</v>
      </c>
      <c r="G675" s="4">
        <v>1</v>
      </c>
      <c r="H675" s="4">
        <v>1</v>
      </c>
      <c r="I675" s="4">
        <v>1</v>
      </c>
      <c r="J675" s="4">
        <v>25000</v>
      </c>
      <c r="K675" s="4" t="s">
        <v>68</v>
      </c>
      <c r="L675" s="4" t="s">
        <v>68</v>
      </c>
      <c r="M675" s="5">
        <f t="shared" si="65"/>
        <v>1</v>
      </c>
      <c r="N675" s="5">
        <f t="shared" si="66"/>
        <v>0.2</v>
      </c>
      <c r="O675" s="5">
        <f t="shared" si="67"/>
        <v>1</v>
      </c>
      <c r="P675" s="3">
        <f t="shared" si="68"/>
        <v>213496</v>
      </c>
      <c r="Q675" s="6">
        <f t="shared" si="69"/>
        <v>1.405178551354592</v>
      </c>
    </row>
    <row r="676" spans="1:17" x14ac:dyDescent="0.4">
      <c r="A676" s="2">
        <v>46053</v>
      </c>
      <c r="B676" s="1" t="s">
        <v>55</v>
      </c>
      <c r="C676" s="1" t="s">
        <v>6</v>
      </c>
      <c r="D676" s="1" t="s">
        <v>43</v>
      </c>
      <c r="E676" s="7">
        <v>213496</v>
      </c>
      <c r="F676" s="4">
        <v>4</v>
      </c>
      <c r="G676" s="4">
        <v>2</v>
      </c>
      <c r="H676" s="4">
        <v>2</v>
      </c>
      <c r="I676" s="4" t="s">
        <v>68</v>
      </c>
      <c r="J676" s="4" t="s">
        <v>68</v>
      </c>
      <c r="K676" s="4">
        <v>1</v>
      </c>
      <c r="L676" s="4">
        <v>20000</v>
      </c>
      <c r="M676" s="5">
        <f t="shared" si="65"/>
        <v>1</v>
      </c>
      <c r="N676" s="5">
        <f t="shared" si="66"/>
        <v>0.5</v>
      </c>
      <c r="O676" s="5">
        <f t="shared" si="67"/>
        <v>0</v>
      </c>
      <c r="P676" s="3">
        <f t="shared" si="68"/>
        <v>106748</v>
      </c>
      <c r="Q676" s="6">
        <f t="shared" si="69"/>
        <v>0</v>
      </c>
    </row>
    <row r="677" spans="1:17" x14ac:dyDescent="0.4">
      <c r="A677" s="2">
        <v>46053</v>
      </c>
      <c r="B677" s="1" t="s">
        <v>5</v>
      </c>
      <c r="C677" s="1" t="s">
        <v>6</v>
      </c>
      <c r="D677" s="1" t="s">
        <v>52</v>
      </c>
      <c r="E677" s="7">
        <v>320244</v>
      </c>
      <c r="F677" s="4">
        <v>7</v>
      </c>
      <c r="G677" s="4">
        <v>2</v>
      </c>
      <c r="H677" s="4">
        <v>2</v>
      </c>
      <c r="I677" s="4">
        <v>1</v>
      </c>
      <c r="J677" s="4">
        <v>20000</v>
      </c>
      <c r="K677" s="4">
        <v>1</v>
      </c>
      <c r="L677" s="4">
        <v>30000</v>
      </c>
      <c r="M677" s="5">
        <f t="shared" si="65"/>
        <v>1</v>
      </c>
      <c r="N677" s="5">
        <f t="shared" si="66"/>
        <v>0.2857142857142857</v>
      </c>
      <c r="O677" s="5">
        <f t="shared" si="67"/>
        <v>0.5</v>
      </c>
      <c r="P677" s="3">
        <f t="shared" si="68"/>
        <v>160122</v>
      </c>
      <c r="Q677" s="6">
        <f t="shared" si="69"/>
        <v>0.74942856072244912</v>
      </c>
    </row>
    <row r="678" spans="1:17" x14ac:dyDescent="0.4">
      <c r="A678" s="2">
        <v>46053</v>
      </c>
      <c r="B678" s="1" t="s">
        <v>26</v>
      </c>
      <c r="C678" s="1" t="s">
        <v>36</v>
      </c>
      <c r="D678" s="1" t="s">
        <v>52</v>
      </c>
      <c r="E678" s="7">
        <v>0</v>
      </c>
      <c r="F678" s="4">
        <v>2</v>
      </c>
      <c r="G678" s="4"/>
      <c r="H678" s="4"/>
      <c r="I678" s="4"/>
      <c r="J678" s="4"/>
      <c r="K678" s="4"/>
      <c r="L678" s="4"/>
      <c r="M678" s="5">
        <f t="shared" si="65"/>
        <v>0</v>
      </c>
      <c r="N678" s="5">
        <f t="shared" si="66"/>
        <v>0</v>
      </c>
      <c r="O678" s="5">
        <f t="shared" si="67"/>
        <v>0</v>
      </c>
      <c r="P678" s="3">
        <f t="shared" si="68"/>
        <v>0</v>
      </c>
      <c r="Q678" s="6">
        <f t="shared" si="69"/>
        <v>0</v>
      </c>
    </row>
    <row r="679" spans="1:17" x14ac:dyDescent="0.4">
      <c r="A679" s="2">
        <v>46053</v>
      </c>
      <c r="B679" s="1" t="s">
        <v>51</v>
      </c>
      <c r="C679" s="1" t="s">
        <v>50</v>
      </c>
      <c r="D679" s="1" t="s">
        <v>54</v>
      </c>
      <c r="E679" s="7">
        <v>428571.42857142858</v>
      </c>
      <c r="F679" s="4">
        <v>3</v>
      </c>
      <c r="G679" s="4">
        <v>4</v>
      </c>
      <c r="H679" s="4">
        <v>3</v>
      </c>
      <c r="I679" s="4">
        <v>1</v>
      </c>
      <c r="J679" s="4">
        <v>20000</v>
      </c>
      <c r="K679" s="4">
        <v>1</v>
      </c>
      <c r="L679" s="4">
        <v>30000</v>
      </c>
      <c r="M679" s="5">
        <f t="shared" si="65"/>
        <v>0.75</v>
      </c>
      <c r="N679" s="5">
        <f t="shared" si="66"/>
        <v>1.3333333333333333</v>
      </c>
      <c r="O679" s="5">
        <f t="shared" si="67"/>
        <v>0.33333333333333331</v>
      </c>
      <c r="P679" s="3">
        <f t="shared" si="68"/>
        <v>107142.85714285714</v>
      </c>
      <c r="Q679" s="6">
        <f t="shared" si="69"/>
        <v>0.55999999999999994</v>
      </c>
    </row>
    <row r="680" spans="1:17" x14ac:dyDescent="0.4">
      <c r="A680" s="2">
        <v>46053</v>
      </c>
      <c r="B680" s="1" t="s">
        <v>19</v>
      </c>
      <c r="C680" s="1" t="s">
        <v>20</v>
      </c>
      <c r="D680" s="1" t="s">
        <v>34</v>
      </c>
      <c r="E680" s="7">
        <v>187234.04255319148</v>
      </c>
      <c r="F680" s="4">
        <v>4</v>
      </c>
      <c r="G680" s="4">
        <v>1</v>
      </c>
      <c r="H680" s="4">
        <v>1</v>
      </c>
      <c r="I680" s="4"/>
      <c r="J680" s="4"/>
      <c r="K680" s="4"/>
      <c r="L680" s="4"/>
      <c r="M680" s="5">
        <f t="shared" si="65"/>
        <v>1</v>
      </c>
      <c r="N680" s="5">
        <f t="shared" si="66"/>
        <v>0.25</v>
      </c>
      <c r="O680" s="5">
        <f t="shared" si="67"/>
        <v>0</v>
      </c>
      <c r="P680" s="3">
        <f t="shared" si="68"/>
        <v>187234.04255319148</v>
      </c>
      <c r="Q680" s="6">
        <f t="shared" si="69"/>
        <v>0</v>
      </c>
    </row>
    <row r="681" spans="1:17" x14ac:dyDescent="0.4">
      <c r="A681" s="2">
        <v>46053</v>
      </c>
      <c r="B681" s="1" t="s">
        <v>23</v>
      </c>
      <c r="C681" s="1" t="s">
        <v>37</v>
      </c>
      <c r="D681" s="1" t="s">
        <v>32</v>
      </c>
      <c r="E681" s="7">
        <v>0</v>
      </c>
      <c r="F681" s="4">
        <v>6</v>
      </c>
      <c r="G681" s="4"/>
      <c r="H681" s="4"/>
      <c r="I681" s="4"/>
      <c r="J681" s="4"/>
      <c r="K681" s="4"/>
      <c r="L681" s="4"/>
      <c r="M681" s="5">
        <f t="shared" si="65"/>
        <v>0</v>
      </c>
      <c r="N681" s="5">
        <f t="shared" si="66"/>
        <v>0</v>
      </c>
      <c r="O681" s="5">
        <f t="shared" si="67"/>
        <v>0</v>
      </c>
      <c r="P681" s="3">
        <f t="shared" si="68"/>
        <v>0</v>
      </c>
      <c r="Q681" s="6">
        <f t="shared" si="69"/>
        <v>0</v>
      </c>
    </row>
    <row r="682" spans="1:17" x14ac:dyDescent="0.4">
      <c r="A682" s="2">
        <v>46053</v>
      </c>
      <c r="B682" s="1" t="s">
        <v>21</v>
      </c>
      <c r="C682" s="1" t="s">
        <v>22</v>
      </c>
      <c r="D682" s="1" t="s">
        <v>32</v>
      </c>
      <c r="E682" s="7">
        <v>283870.96774193551</v>
      </c>
      <c r="F682" s="4">
        <v>9</v>
      </c>
      <c r="G682" s="4"/>
      <c r="H682" s="4"/>
      <c r="I682" s="4"/>
      <c r="J682" s="4"/>
      <c r="K682" s="4"/>
      <c r="L682" s="4"/>
      <c r="M682" s="5">
        <f t="shared" si="65"/>
        <v>0</v>
      </c>
      <c r="N682" s="5">
        <f t="shared" si="66"/>
        <v>0</v>
      </c>
      <c r="O682" s="5">
        <f t="shared" si="67"/>
        <v>0</v>
      </c>
      <c r="P682" s="3">
        <f t="shared" si="68"/>
        <v>0</v>
      </c>
      <c r="Q682" s="6">
        <f t="shared" si="69"/>
        <v>0</v>
      </c>
    </row>
    <row r="683" spans="1:17" x14ac:dyDescent="0.4">
      <c r="A683" s="2">
        <v>46053</v>
      </c>
      <c r="B683" s="1" t="s">
        <v>61</v>
      </c>
      <c r="C683" s="1" t="s">
        <v>64</v>
      </c>
      <c r="D683" s="1" t="s">
        <v>66</v>
      </c>
      <c r="E683" s="7">
        <v>0</v>
      </c>
      <c r="F683" s="4">
        <v>0</v>
      </c>
      <c r="G683" s="4"/>
      <c r="H683" s="4"/>
      <c r="I683" s="4"/>
      <c r="J683" s="4"/>
      <c r="K683" s="4"/>
      <c r="L683" s="4"/>
      <c r="M683" s="5">
        <f t="shared" si="65"/>
        <v>0</v>
      </c>
      <c r="N683" s="5">
        <f t="shared" si="66"/>
        <v>0</v>
      </c>
      <c r="O683" s="5">
        <f t="shared" si="67"/>
        <v>0</v>
      </c>
      <c r="P683" s="3">
        <f t="shared" si="68"/>
        <v>0</v>
      </c>
      <c r="Q683" s="6">
        <f t="shared" si="69"/>
        <v>0</v>
      </c>
    </row>
    <row r="684" spans="1:17" x14ac:dyDescent="0.4">
      <c r="A684" s="2">
        <v>46053</v>
      </c>
      <c r="B684" s="1" t="s">
        <v>42</v>
      </c>
      <c r="C684" s="1" t="s">
        <v>38</v>
      </c>
      <c r="D684" s="1" t="s">
        <v>42</v>
      </c>
      <c r="E684" s="7">
        <v>0</v>
      </c>
      <c r="F684" s="4">
        <v>0</v>
      </c>
      <c r="G684" s="4"/>
      <c r="H684" s="4"/>
      <c r="I684" s="4"/>
      <c r="J684" s="4"/>
      <c r="K684" s="4"/>
      <c r="L684" s="4"/>
      <c r="M684" s="5">
        <f t="shared" si="65"/>
        <v>0</v>
      </c>
      <c r="N684" s="5">
        <f t="shared" si="66"/>
        <v>0</v>
      </c>
      <c r="O684" s="5">
        <f t="shared" si="67"/>
        <v>0</v>
      </c>
      <c r="P684" s="3">
        <f t="shared" si="68"/>
        <v>0</v>
      </c>
      <c r="Q684" s="6">
        <f t="shared" si="69"/>
        <v>0</v>
      </c>
    </row>
    <row r="685" spans="1:17" x14ac:dyDescent="0.4">
      <c r="A685" s="2">
        <v>46053</v>
      </c>
      <c r="B685" s="1" t="s">
        <v>7</v>
      </c>
      <c r="C685" s="1" t="s">
        <v>8</v>
      </c>
      <c r="D685" s="1" t="s">
        <v>42</v>
      </c>
      <c r="E685" s="7">
        <v>0</v>
      </c>
      <c r="F685" s="4">
        <v>0</v>
      </c>
      <c r="G685" s="3">
        <v>3</v>
      </c>
      <c r="H685" s="3"/>
      <c r="I685" s="3"/>
      <c r="J685" s="3"/>
      <c r="K685" s="3"/>
      <c r="L685" s="3"/>
      <c r="M685" s="5">
        <f t="shared" si="65"/>
        <v>0</v>
      </c>
      <c r="N685" s="5">
        <f t="shared" si="66"/>
        <v>0</v>
      </c>
      <c r="O685" s="5">
        <f t="shared" si="67"/>
        <v>0</v>
      </c>
      <c r="P685" s="3">
        <f t="shared" si="68"/>
        <v>0</v>
      </c>
      <c r="Q685" s="6">
        <f t="shared" si="69"/>
        <v>0</v>
      </c>
    </row>
    <row r="686" spans="1:17" x14ac:dyDescent="0.4">
      <c r="G686" s="8"/>
      <c r="H686" s="8"/>
      <c r="I686" s="8"/>
      <c r="J686" s="8"/>
      <c r="K686" s="8"/>
      <c r="L686" s="8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31DF-7959-4260-880F-C1E1CDB519BA}">
  <dimension ref="B4:M34"/>
  <sheetViews>
    <sheetView topLeftCell="A13" workbookViewId="0">
      <selection activeCell="N38" sqref="N38"/>
    </sheetView>
  </sheetViews>
  <sheetFormatPr defaultRowHeight="17.399999999999999" x14ac:dyDescent="0.4"/>
  <cols>
    <col min="2" max="2" width="12.59765625" customWidth="1"/>
  </cols>
  <sheetData>
    <row r="4" spans="2:13" x14ac:dyDescent="0.4">
      <c r="B4" s="2">
        <v>46023</v>
      </c>
      <c r="C4">
        <f>SUMIFS(DAILY!$G$2:$G$685,DAILY!$C$2:$C$685,"JTBC4",DAILY!$A$2:$A$685,B4)</f>
        <v>11</v>
      </c>
      <c r="J4">
        <v>11</v>
      </c>
      <c r="M4">
        <f>C4-J4</f>
        <v>0</v>
      </c>
    </row>
    <row r="5" spans="2:13" x14ac:dyDescent="0.4">
      <c r="B5" s="2">
        <v>46024</v>
      </c>
      <c r="C5">
        <f>SUMIFS(DAILY!$G$2:$G$685,DAILY!$C$2:$C$685,"JTBC4",DAILY!$A$2:$A$685,B5)</f>
        <v>19</v>
      </c>
      <c r="J5">
        <v>19</v>
      </c>
      <c r="M5">
        <f t="shared" ref="M5:M34" si="0">C5-J5</f>
        <v>0</v>
      </c>
    </row>
    <row r="6" spans="2:13" x14ac:dyDescent="0.4">
      <c r="B6" s="2">
        <v>46025</v>
      </c>
      <c r="C6">
        <f>SUMIFS(DAILY!$G$2:$G$685,DAILY!$C$2:$C$685,"JTBC4",DAILY!$A$2:$A$685,B6)</f>
        <v>13</v>
      </c>
      <c r="J6">
        <v>13</v>
      </c>
      <c r="M6">
        <f t="shared" si="0"/>
        <v>0</v>
      </c>
    </row>
    <row r="7" spans="2:13" x14ac:dyDescent="0.4">
      <c r="B7" s="2">
        <v>46026</v>
      </c>
      <c r="C7">
        <f>SUMIFS(DAILY!$G$2:$G$685,DAILY!$C$2:$C$685,"JTBC4",DAILY!$A$2:$A$685,B7)</f>
        <v>7</v>
      </c>
      <c r="J7">
        <v>7</v>
      </c>
      <c r="M7">
        <f t="shared" si="0"/>
        <v>0</v>
      </c>
    </row>
    <row r="8" spans="2:13" x14ac:dyDescent="0.4">
      <c r="B8" s="2">
        <v>46027</v>
      </c>
      <c r="C8">
        <f>SUMIFS(DAILY!$G$2:$G$685,DAILY!$C$2:$C$685,"JTBC4",DAILY!$A$2:$A$685,B8)</f>
        <v>17</v>
      </c>
      <c r="J8">
        <v>17</v>
      </c>
      <c r="M8">
        <f t="shared" si="0"/>
        <v>0</v>
      </c>
    </row>
    <row r="9" spans="2:13" x14ac:dyDescent="0.4">
      <c r="B9" s="2">
        <v>46028</v>
      </c>
      <c r="C9">
        <f>SUMIFS(DAILY!$G$2:$G$685,DAILY!$C$2:$C$685,"JTBC4",DAILY!$A$2:$A$685,B9)</f>
        <v>15</v>
      </c>
      <c r="J9">
        <v>15</v>
      </c>
      <c r="M9">
        <f t="shared" si="0"/>
        <v>0</v>
      </c>
    </row>
    <row r="10" spans="2:13" x14ac:dyDescent="0.4">
      <c r="B10" s="2">
        <v>46029</v>
      </c>
      <c r="C10">
        <f>SUMIFS(DAILY!$G$2:$G$685,DAILY!$C$2:$C$685,"JTBC4",DAILY!$A$2:$A$685,B10)</f>
        <v>12</v>
      </c>
      <c r="J10">
        <v>12</v>
      </c>
      <c r="M10">
        <f t="shared" si="0"/>
        <v>0</v>
      </c>
    </row>
    <row r="11" spans="2:13" x14ac:dyDescent="0.4">
      <c r="B11" s="2">
        <v>46030</v>
      </c>
      <c r="C11">
        <f>SUMIFS(DAILY!$G$2:$G$685,DAILY!$C$2:$C$685,"JTBC4",DAILY!$A$2:$A$685,B11)</f>
        <v>9</v>
      </c>
      <c r="J11">
        <v>9</v>
      </c>
      <c r="M11">
        <f t="shared" si="0"/>
        <v>0</v>
      </c>
    </row>
    <row r="12" spans="2:13" x14ac:dyDescent="0.4">
      <c r="B12" s="2">
        <v>46031</v>
      </c>
      <c r="C12">
        <f>SUMIFS(DAILY!$G$2:$G$685,DAILY!$C$2:$C$685,"JTBC4",DAILY!$A$2:$A$685,B12)</f>
        <v>9</v>
      </c>
      <c r="J12">
        <v>9</v>
      </c>
      <c r="M12">
        <f t="shared" si="0"/>
        <v>0</v>
      </c>
    </row>
    <row r="13" spans="2:13" x14ac:dyDescent="0.4">
      <c r="B13" s="2">
        <v>46032</v>
      </c>
      <c r="C13">
        <f>SUMIFS(DAILY!$G$2:$G$685,DAILY!$C$2:$C$685,"JTBC4",DAILY!$A$2:$A$685,B13)</f>
        <v>15</v>
      </c>
      <c r="J13">
        <v>15</v>
      </c>
      <c r="M13">
        <f t="shared" si="0"/>
        <v>0</v>
      </c>
    </row>
    <row r="14" spans="2:13" x14ac:dyDescent="0.4">
      <c r="B14" s="2">
        <v>46033</v>
      </c>
      <c r="C14">
        <f>SUMIFS(DAILY!$G$2:$G$685,DAILY!$C$2:$C$685,"JTBC4",DAILY!$A$2:$A$685,B14)</f>
        <v>16</v>
      </c>
      <c r="J14">
        <v>16</v>
      </c>
      <c r="M14">
        <f t="shared" si="0"/>
        <v>0</v>
      </c>
    </row>
    <row r="15" spans="2:13" x14ac:dyDescent="0.4">
      <c r="B15" s="2">
        <v>46034</v>
      </c>
      <c r="C15">
        <f>SUMIFS(DAILY!$G$2:$G$685,DAILY!$C$2:$C$685,"JTBC4",DAILY!$A$2:$A$685,B15)</f>
        <v>9</v>
      </c>
      <c r="J15">
        <v>9</v>
      </c>
      <c r="M15">
        <f t="shared" si="0"/>
        <v>0</v>
      </c>
    </row>
    <row r="16" spans="2:13" x14ac:dyDescent="0.4">
      <c r="B16" s="2">
        <v>46035</v>
      </c>
      <c r="C16">
        <f>SUMIFS(DAILY!$G$2:$G$685,DAILY!$C$2:$C$685,"JTBC4",DAILY!$A$2:$A$685,B16)</f>
        <v>14</v>
      </c>
      <c r="J16">
        <v>14</v>
      </c>
      <c r="M16">
        <f t="shared" si="0"/>
        <v>0</v>
      </c>
    </row>
    <row r="17" spans="2:13" x14ac:dyDescent="0.4">
      <c r="B17" s="2">
        <v>46036</v>
      </c>
      <c r="C17">
        <f>SUMIFS(DAILY!$G$2:$G$685,DAILY!$C$2:$C$685,"JTBC4",DAILY!$A$2:$A$685,B17)</f>
        <v>11</v>
      </c>
      <c r="J17">
        <v>11</v>
      </c>
      <c r="M17">
        <f t="shared" si="0"/>
        <v>0</v>
      </c>
    </row>
    <row r="18" spans="2:13" x14ac:dyDescent="0.4">
      <c r="B18" s="2">
        <v>46037</v>
      </c>
      <c r="C18">
        <f>SUMIFS(DAILY!$G$2:$G$685,DAILY!$C$2:$C$685,"JTBC4",DAILY!$A$2:$A$685,B18)</f>
        <v>11</v>
      </c>
      <c r="J18">
        <v>11</v>
      </c>
      <c r="M18">
        <f t="shared" si="0"/>
        <v>0</v>
      </c>
    </row>
    <row r="19" spans="2:13" x14ac:dyDescent="0.4">
      <c r="B19" s="2">
        <v>46038</v>
      </c>
      <c r="C19">
        <f>SUMIFS(DAILY!$G$2:$G$685,DAILY!$C$2:$C$685,"JTBC4",DAILY!$A$2:$A$685,B19)</f>
        <v>10</v>
      </c>
      <c r="J19">
        <v>10</v>
      </c>
      <c r="M19">
        <f t="shared" si="0"/>
        <v>0</v>
      </c>
    </row>
    <row r="20" spans="2:13" x14ac:dyDescent="0.4">
      <c r="B20" s="2">
        <v>46039</v>
      </c>
      <c r="C20">
        <f>SUMIFS(DAILY!$G$2:$G$685,DAILY!$C$2:$C$685,"JTBC4",DAILY!$A$2:$A$685,B20)</f>
        <v>6</v>
      </c>
      <c r="J20">
        <v>6</v>
      </c>
      <c r="M20">
        <f t="shared" si="0"/>
        <v>0</v>
      </c>
    </row>
    <row r="21" spans="2:13" x14ac:dyDescent="0.4">
      <c r="B21" s="2">
        <v>46040</v>
      </c>
      <c r="C21">
        <f>SUMIFS(DAILY!$G$2:$G$685,DAILY!$C$2:$C$685,"JTBC4",DAILY!$A$2:$A$685,B21)</f>
        <v>20</v>
      </c>
      <c r="J21">
        <v>20</v>
      </c>
      <c r="M21">
        <f t="shared" si="0"/>
        <v>0</v>
      </c>
    </row>
    <row r="22" spans="2:13" x14ac:dyDescent="0.4">
      <c r="B22" s="2">
        <v>46041</v>
      </c>
      <c r="C22">
        <f>SUMIFS(DAILY!$G$2:$G$685,DAILY!$C$2:$C$685,"JTBC4",DAILY!$A$2:$A$685,B22)</f>
        <v>6</v>
      </c>
      <c r="J22">
        <v>6</v>
      </c>
      <c r="M22">
        <f t="shared" si="0"/>
        <v>0</v>
      </c>
    </row>
    <row r="23" spans="2:13" x14ac:dyDescent="0.4">
      <c r="B23" s="2">
        <v>46042</v>
      </c>
      <c r="C23">
        <f>SUMIFS(DAILY!$G$2:$G$685,DAILY!$C$2:$C$685,"JTBC4",DAILY!$A$2:$A$685,B23)</f>
        <v>14</v>
      </c>
      <c r="J23">
        <v>14</v>
      </c>
      <c r="M23">
        <f t="shared" si="0"/>
        <v>0</v>
      </c>
    </row>
    <row r="24" spans="2:13" x14ac:dyDescent="0.4">
      <c r="B24" s="2">
        <v>46043</v>
      </c>
      <c r="C24">
        <f>SUMIFS(DAILY!$G$2:$G$685,DAILY!$C$2:$C$685,"JTBC4",DAILY!$A$2:$A$685,B24)</f>
        <v>17</v>
      </c>
      <c r="J24">
        <v>17</v>
      </c>
      <c r="M24">
        <f t="shared" si="0"/>
        <v>0</v>
      </c>
    </row>
    <row r="25" spans="2:13" x14ac:dyDescent="0.4">
      <c r="B25" s="2">
        <v>46044</v>
      </c>
      <c r="C25">
        <f>SUMIFS(DAILY!$G$2:$G$685,DAILY!$C$2:$C$685,"JTBC4",DAILY!$A$2:$A$685,B25)</f>
        <v>14</v>
      </c>
      <c r="J25">
        <v>14</v>
      </c>
      <c r="M25">
        <f t="shared" si="0"/>
        <v>0</v>
      </c>
    </row>
    <row r="26" spans="2:13" x14ac:dyDescent="0.4">
      <c r="B26" s="2">
        <v>46045</v>
      </c>
      <c r="C26">
        <f>SUMIFS(DAILY!$G$2:$G$685,DAILY!$C$2:$C$685,"JTBC4",DAILY!$A$2:$A$685,B26)</f>
        <v>13</v>
      </c>
      <c r="J26">
        <v>13</v>
      </c>
      <c r="M26">
        <f t="shared" si="0"/>
        <v>0</v>
      </c>
    </row>
    <row r="27" spans="2:13" x14ac:dyDescent="0.4">
      <c r="B27" s="2">
        <v>46046</v>
      </c>
      <c r="C27">
        <f>SUMIFS(DAILY!$G$2:$G$685,DAILY!$C$2:$C$685,"JTBC4",DAILY!$A$2:$A$685,B27)</f>
        <v>21</v>
      </c>
      <c r="J27">
        <v>21</v>
      </c>
      <c r="M27">
        <f t="shared" si="0"/>
        <v>0</v>
      </c>
    </row>
    <row r="28" spans="2:13" x14ac:dyDescent="0.4">
      <c r="B28" s="2">
        <v>46047</v>
      </c>
      <c r="C28">
        <f>SUMIFS(DAILY!$G$2:$G$685,DAILY!$C$2:$C$685,"JTBC4",DAILY!$A$2:$A$685,B28)</f>
        <v>16</v>
      </c>
      <c r="J28">
        <v>16</v>
      </c>
      <c r="M28">
        <f t="shared" si="0"/>
        <v>0</v>
      </c>
    </row>
    <row r="29" spans="2:13" x14ac:dyDescent="0.4">
      <c r="B29" s="2">
        <v>46048</v>
      </c>
      <c r="C29">
        <f>SUMIFS(DAILY!$G$2:$G$685,DAILY!$C$2:$C$685,"JTBC4",DAILY!$A$2:$A$685,B29)</f>
        <v>13</v>
      </c>
      <c r="J29">
        <v>13</v>
      </c>
      <c r="M29">
        <f t="shared" si="0"/>
        <v>0</v>
      </c>
    </row>
    <row r="30" spans="2:13" x14ac:dyDescent="0.4">
      <c r="B30" s="2">
        <v>46049</v>
      </c>
      <c r="C30">
        <f>SUMIFS(DAILY!$G$2:$G$685,DAILY!$C$2:$C$685,"JTBC4",DAILY!$A$2:$A$685,B30)</f>
        <v>17</v>
      </c>
      <c r="J30">
        <v>17</v>
      </c>
      <c r="M30">
        <f t="shared" si="0"/>
        <v>0</v>
      </c>
    </row>
    <row r="31" spans="2:13" x14ac:dyDescent="0.4">
      <c r="B31" s="2">
        <v>46050</v>
      </c>
      <c r="C31">
        <f>SUMIFS(DAILY!$G$2:$G$685,DAILY!$C$2:$C$685,"JTBC4",DAILY!$A$2:$A$685,B31)</f>
        <v>11</v>
      </c>
      <c r="J31">
        <v>11</v>
      </c>
      <c r="M31">
        <f t="shared" si="0"/>
        <v>0</v>
      </c>
    </row>
    <row r="32" spans="2:13" x14ac:dyDescent="0.4">
      <c r="B32" s="2">
        <v>46051</v>
      </c>
      <c r="C32">
        <f>SUMIFS(DAILY!$G$2:$G$685,DAILY!$C$2:$C$685,"JTBC4",DAILY!$A$2:$A$685,B32)</f>
        <v>25</v>
      </c>
      <c r="J32">
        <v>26</v>
      </c>
      <c r="M32">
        <f t="shared" si="0"/>
        <v>-1</v>
      </c>
    </row>
    <row r="33" spans="2:13" x14ac:dyDescent="0.4">
      <c r="B33" s="2">
        <v>46052</v>
      </c>
      <c r="C33">
        <f>SUMIFS(DAILY!$G$2:$G$685,DAILY!$C$2:$C$685,"JTBC4",DAILY!$A$2:$A$685,B33)</f>
        <v>5</v>
      </c>
      <c r="J33">
        <v>5</v>
      </c>
      <c r="M33">
        <f t="shared" si="0"/>
        <v>0</v>
      </c>
    </row>
    <row r="34" spans="2:13" x14ac:dyDescent="0.4">
      <c r="B34" s="2">
        <v>46053</v>
      </c>
      <c r="C34">
        <f>SUMIFS(DAILY!$G$2:$G$685,DAILY!$C$2:$C$685,"JTBC4",DAILY!$A$2:$A$685,B34)</f>
        <v>12</v>
      </c>
      <c r="J34">
        <v>12</v>
      </c>
      <c r="M34">
        <f t="shared" si="0"/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DAILY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Ideastream5</dc:creator>
  <cp:lastModifiedBy>상우 김</cp:lastModifiedBy>
  <dcterms:created xsi:type="dcterms:W3CDTF">2026-03-30T05:07:06Z</dcterms:created>
  <dcterms:modified xsi:type="dcterms:W3CDTF">2026-04-02T07:21:55Z</dcterms:modified>
</cp:coreProperties>
</file>